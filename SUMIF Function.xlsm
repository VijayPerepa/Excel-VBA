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VBA Training\Excel VBA - Basics\"/>
    </mc:Choice>
  </mc:AlternateContent>
  <xr:revisionPtr revIDLastSave="0" documentId="8_{A5E18072-889D-4BF0-9F0B-F24B3762820D}" xr6:coauthVersionLast="38" xr6:coauthVersionMax="38" xr10:uidLastSave="{00000000-0000-0000-0000-000000000000}"/>
  <bookViews>
    <workbookView xWindow="0" yWindow="0" windowWidth="20490" windowHeight="6885" activeTab="1" xr2:uid="{145086B2-AEED-47B3-AE9A-55709DF6B182}"/>
  </bookViews>
  <sheets>
    <sheet name="Sheet2" sheetId="2" r:id="rId1"/>
    <sheet name="Sheet1" sheetId="1" r:id="rId2"/>
  </sheets>
  <calcPr calcId="179021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1" l="1" a="1"/>
  <c r="M2" i="1" s="1"/>
  <c r="M9" i="1" l="1"/>
  <c r="M5" i="1"/>
  <c r="M8" i="1"/>
  <c r="M4" i="1"/>
  <c r="M7" i="1"/>
  <c r="M3" i="1"/>
  <c r="M10" i="1"/>
  <c r="M6" i="1"/>
  <c r="I1123" i="1"/>
  <c r="H1123" i="1"/>
  <c r="G1123" i="1"/>
  <c r="F1123" i="1"/>
  <c r="E1123" i="1"/>
</calcChain>
</file>

<file path=xl/sharedStrings.xml><?xml version="1.0" encoding="utf-8"?>
<sst xmlns="http://schemas.openxmlformats.org/spreadsheetml/2006/main" count="4519" uniqueCount="112">
  <si>
    <t>State</t>
  </si>
  <si>
    <t>Brand</t>
  </si>
  <si>
    <t>Product</t>
  </si>
  <si>
    <t>Measure</t>
  </si>
  <si>
    <t>2009</t>
  </si>
  <si>
    <t>2010</t>
  </si>
  <si>
    <t>2011</t>
  </si>
  <si>
    <t>2012</t>
  </si>
  <si>
    <t>2013</t>
  </si>
  <si>
    <t>Andhra Pradesh</t>
  </si>
  <si>
    <t>Nokia</t>
  </si>
  <si>
    <t>Nokia Lumia 800</t>
  </si>
  <si>
    <t>Units</t>
  </si>
  <si>
    <t>Nokia Lumia 710</t>
  </si>
  <si>
    <t>Nokia 603</t>
  </si>
  <si>
    <t>Nokia 701</t>
  </si>
  <si>
    <t>Nokia 500 Fate</t>
  </si>
  <si>
    <t>Nokia E6</t>
  </si>
  <si>
    <t>Nokia X7</t>
  </si>
  <si>
    <t>Nokia E7</t>
  </si>
  <si>
    <t>Nokia C3-01</t>
  </si>
  <si>
    <t>Nokia E5</t>
  </si>
  <si>
    <t>Samsung</t>
  </si>
  <si>
    <t>Samsung Omnia W I8350</t>
  </si>
  <si>
    <t>Samsung Galaxy Tab 620</t>
  </si>
  <si>
    <t>Samsung Wave III S8600</t>
  </si>
  <si>
    <t>Samsung Wave Y S5380</t>
  </si>
  <si>
    <t>Samsung Galaxy Tab 730</t>
  </si>
  <si>
    <t>Samsung Galaxy Note GT-N7000</t>
  </si>
  <si>
    <t>Samsung Galaxy R I9103</t>
  </si>
  <si>
    <t>Samsung Galaxy S Plus I9001</t>
  </si>
  <si>
    <t>Samsung Galaxy Y S5360</t>
  </si>
  <si>
    <t>Samsung Galaxy S II</t>
  </si>
  <si>
    <t>Sony Ericsson</t>
  </si>
  <si>
    <t>Sony Ericsson Live WT19i</t>
  </si>
  <si>
    <t>Sony Ericsson Xperia Arc S</t>
  </si>
  <si>
    <t>Sony Ericsson Xperia Pro</t>
  </si>
  <si>
    <t>Sony Ericsson Xperia Active ST17i</t>
  </si>
  <si>
    <t>Sony Ericsson Xperia Neo V</t>
  </si>
  <si>
    <t>Sony Ericsson Xperia Ray ST18i</t>
  </si>
  <si>
    <t>Sony Ericsson Xperia Mini Pro SK17i</t>
  </si>
  <si>
    <t>Sony Ericsson Xperia Mini ST15i</t>
  </si>
  <si>
    <t>Sony Ericsson Fengli txt pro CK15i</t>
  </si>
  <si>
    <t>Sony Ericsson Xperia 32GB</t>
  </si>
  <si>
    <t>HTC</t>
  </si>
  <si>
    <t>HTC Sensation XE</t>
  </si>
  <si>
    <t>HTC Rhyme (Sea Glass)</t>
  </si>
  <si>
    <t>HTC Radar</t>
  </si>
  <si>
    <t>HTC Explorer</t>
  </si>
  <si>
    <t>HTC Evo 3D</t>
  </si>
  <si>
    <t>HTC ChaCha</t>
  </si>
  <si>
    <t>HTC Sensation</t>
  </si>
  <si>
    <t>HTC Wildfire S</t>
  </si>
  <si>
    <t>HTC Incredible S</t>
  </si>
  <si>
    <t>HTC Desire S</t>
  </si>
  <si>
    <t>LG</t>
  </si>
  <si>
    <t>LG Optimus Sol E730</t>
  </si>
  <si>
    <t>LG Optimus Net Dual P698</t>
  </si>
  <si>
    <t>LG Optimus 3D P920</t>
  </si>
  <si>
    <t>LG Optimus NET P690</t>
  </si>
  <si>
    <t>LG Optimus Pro C660</t>
  </si>
  <si>
    <t>LG Optimus Black P970</t>
  </si>
  <si>
    <t>LG Optimus 2X</t>
  </si>
  <si>
    <t>LG Optimus One P500</t>
  </si>
  <si>
    <t>LG Optimus 5X</t>
  </si>
  <si>
    <t>LG Optimus 12X</t>
  </si>
  <si>
    <t>Motorola</t>
  </si>
  <si>
    <t>Motorola Razr XT910</t>
  </si>
  <si>
    <t>Motorola Defy+</t>
  </si>
  <si>
    <t>Motorola Fire XT530</t>
  </si>
  <si>
    <t>Motorola Brea EX119</t>
  </si>
  <si>
    <t>Motorola Fire</t>
  </si>
  <si>
    <t>Motorola Xoom 32GB (Wi-Fi) Tablet</t>
  </si>
  <si>
    <t>Motorola Xoom 32GB (Wi-Fi+3G) Tablet</t>
  </si>
  <si>
    <t>Motorola Milestone 4GB</t>
  </si>
  <si>
    <t>Motorola Milestone 16GB</t>
  </si>
  <si>
    <t>Motorola Milestone 32GB</t>
  </si>
  <si>
    <t>Blackberry</t>
  </si>
  <si>
    <t>Blackberry Bold 9790</t>
  </si>
  <si>
    <t>Blackberry Curve 9380</t>
  </si>
  <si>
    <t>Blackberry Torch 9860</t>
  </si>
  <si>
    <t>Blackberry Curve 9360</t>
  </si>
  <si>
    <t>Blackberry Torch 9810</t>
  </si>
  <si>
    <t>Blackberry Bold 4 9900</t>
  </si>
  <si>
    <t>Blackberry Playbook 64GB Wi-Fi Tablet</t>
  </si>
  <si>
    <t>Blackberry Playbook 32GB Wi-Fi Tablet</t>
  </si>
  <si>
    <t>Blackberry Playbook 16GB Wi-Fi Tablet</t>
  </si>
  <si>
    <t>Blackberry Bold 9780</t>
  </si>
  <si>
    <t>Apple</t>
  </si>
  <si>
    <t>Apple iPhone 4S 64GB</t>
  </si>
  <si>
    <t>Apple iPhone 4S 32GB</t>
  </si>
  <si>
    <t>Apple iPhone 4S 16GB</t>
  </si>
  <si>
    <t>Apple iPhone 4 8GB</t>
  </si>
  <si>
    <t>Apple iPad 2 16GB (Wi-Fi) Tablet</t>
  </si>
  <si>
    <t>Apple iPad 2 32GB (Wi-Fi) Tablet</t>
  </si>
  <si>
    <t>Apple iPad 2 64GB (Wi-Fi) Tablet</t>
  </si>
  <si>
    <t>Apple iPad 2 16GB (Wi-Fi+3G) Tablet</t>
  </si>
  <si>
    <t>Apple iPad 2 32GB (Wi-Fi+3G) Tablet</t>
  </si>
  <si>
    <t>Apple iPad 2 64GB (Wi-Fi+3G) Tablet</t>
  </si>
  <si>
    <t>Goa</t>
  </si>
  <si>
    <t>Karnataka</t>
  </si>
  <si>
    <t>Kerala</t>
  </si>
  <si>
    <t>Maharashtra</t>
  </si>
  <si>
    <t>Tamil Nadu</t>
  </si>
  <si>
    <t>New Delhi</t>
  </si>
  <si>
    <t>Sales</t>
  </si>
  <si>
    <t>Any Mobile</t>
  </si>
  <si>
    <t>anymobile tablte</t>
  </si>
  <si>
    <t>brand</t>
  </si>
  <si>
    <t>Row Labels</t>
  </si>
  <si>
    <t>Grand Total</t>
  </si>
  <si>
    <t>Sum of 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</si>
</sst>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3" borderId="1" xfId="0" applyFont="1" applyFill="1" applyBorder="1"/>
    <xf numFmtId="0" fontId="0" fillId="0" borderId="1" xfId="0" applyFont="1" applyBorder="1"/>
    <xf numFmtId="0" fontId="2" fillId="2" borderId="2" xfId="0" applyFont="1" applyFill="1" applyBorder="1"/>
    <xf numFmtId="0" fontId="0" fillId="0" borderId="3" xfId="0" applyFont="1" applyBorder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1" applyNumberFormat="1" applyFont="1"/>
    <xf numFmtId="166" fontId="0" fillId="0" borderId="0" xfId="0" applyNumberFormat="1"/>
  </cellXfs>
  <cellStyles count="2">
    <cellStyle name="Comma" xfId="1" builtinId="3"/>
    <cellStyle name="Normal" xfId="0" builtinId="0"/>
  </cellStyles>
  <dxfs count="16">
    <dxf>
      <numFmt numFmtId="166" formatCode="_(* #,##0_);_(* \(#,##0\);_(* &quot;-&quot;??_);_(@_)"/>
    </dxf>
    <dxf>
      <numFmt numFmtId="166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jay perepa" refreshedDate="43418.66972395833" createdVersion="6" refreshedVersion="6" minRefreshableVersion="3" recordCount="1122" xr:uid="{98F1DDD1-3F61-4239-A136-337140227FB8}">
  <cacheSource type="worksheet">
    <worksheetSource name="Sales"/>
  </cacheSource>
  <cacheFields count="9">
    <cacheField name="State" numFmtId="0">
      <sharedItems/>
    </cacheField>
    <cacheField name="Brand" numFmtId="0">
      <sharedItems count="9">
        <s v="Nokia"/>
        <s v="Samsung"/>
        <s v="Sony Ericsson"/>
        <s v="HTC"/>
        <s v="LG"/>
        <s v="Motorola"/>
        <s v="Blackberry"/>
        <s v="Apple"/>
        <s v="Any Mobile"/>
      </sharedItems>
    </cacheField>
    <cacheField name="Product" numFmtId="0">
      <sharedItems/>
    </cacheField>
    <cacheField name="Measure" numFmtId="0">
      <sharedItems/>
    </cacheField>
    <cacheField name="2009" numFmtId="0">
      <sharedItems containsSemiMixedTypes="0" containsString="0" containsNumber="1" minValue="10" maxValue="5750000"/>
    </cacheField>
    <cacheField name="2010" numFmtId="0">
      <sharedItems containsSemiMixedTypes="0" containsString="0" containsNumber="1" minValue="10" maxValue="5347500"/>
    </cacheField>
    <cacheField name="2011" numFmtId="0">
      <sharedItems containsSemiMixedTypes="0" containsString="0" containsNumber="1" minValue="10" maxValue="5232500"/>
    </cacheField>
    <cacheField name="2012" numFmtId="0">
      <sharedItems containsSemiMixedTypes="0" containsString="0" containsNumber="1" minValue="10" maxValue="5635000"/>
    </cacheField>
    <cacheField name="2013" numFmtId="0">
      <sharedItems containsSemiMixedTypes="0" containsString="0" containsNumber="1" minValue="10" maxValue="5577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2">
  <r>
    <s v="Andhra Pradesh"/>
    <x v="0"/>
    <s v="Nokia Lumia 800"/>
    <s v="Units"/>
    <n v="48"/>
    <n v="55"/>
    <n v="58"/>
    <n v="94"/>
    <n v="13"/>
  </r>
  <r>
    <s v="Andhra Pradesh"/>
    <x v="0"/>
    <s v="Nokia Lumia 710"/>
    <s v="Units"/>
    <n v="12"/>
    <n v="70"/>
    <n v="48"/>
    <n v="100"/>
    <n v="58"/>
  </r>
  <r>
    <s v="Andhra Pradesh"/>
    <x v="0"/>
    <s v="Nokia 603"/>
    <s v="Units"/>
    <n v="61"/>
    <n v="49"/>
    <n v="34"/>
    <n v="83"/>
    <n v="69"/>
  </r>
  <r>
    <s v="Andhra Pradesh"/>
    <x v="0"/>
    <s v="Nokia 701"/>
    <s v="Units"/>
    <n v="58"/>
    <n v="71"/>
    <n v="85"/>
    <n v="76"/>
    <n v="35"/>
  </r>
  <r>
    <s v="Andhra Pradesh"/>
    <x v="0"/>
    <s v="Nokia 500 Fate"/>
    <s v="Units"/>
    <n v="99"/>
    <n v="76"/>
    <n v="77"/>
    <n v="32"/>
    <n v="19"/>
  </r>
  <r>
    <s v="Andhra Pradesh"/>
    <x v="0"/>
    <s v="Nokia E6"/>
    <s v="Units"/>
    <n v="32"/>
    <n v="96"/>
    <n v="38"/>
    <n v="84"/>
    <n v="71"/>
  </r>
  <r>
    <s v="Andhra Pradesh"/>
    <x v="0"/>
    <s v="Nokia X7"/>
    <s v="Units"/>
    <n v="22"/>
    <n v="34"/>
    <n v="79"/>
    <n v="78"/>
    <n v="63"/>
  </r>
  <r>
    <s v="Andhra Pradesh"/>
    <x v="0"/>
    <s v="Nokia E7"/>
    <s v="Units"/>
    <n v="78"/>
    <n v="30"/>
    <n v="49"/>
    <n v="53"/>
    <n v="65"/>
  </r>
  <r>
    <s v="Andhra Pradesh"/>
    <x v="0"/>
    <s v="Nokia C3-01"/>
    <s v="Units"/>
    <n v="41"/>
    <n v="19"/>
    <n v="26"/>
    <n v="16"/>
    <n v="36"/>
  </r>
  <r>
    <s v="Andhra Pradesh"/>
    <x v="0"/>
    <s v="Nokia E5"/>
    <s v="Units"/>
    <n v="58"/>
    <n v="16"/>
    <n v="59"/>
    <n v="28"/>
    <n v="67"/>
  </r>
  <r>
    <s v="Andhra Pradesh"/>
    <x v="1"/>
    <s v="Samsung Omnia W I8350"/>
    <s v="Units"/>
    <n v="22"/>
    <n v="90"/>
    <n v="62"/>
    <n v="56"/>
    <n v="39"/>
  </r>
  <r>
    <s v="Andhra Pradesh"/>
    <x v="1"/>
    <s v="Samsung Galaxy Tab 620"/>
    <s v="Units"/>
    <n v="86"/>
    <n v="23"/>
    <n v="52"/>
    <n v="10"/>
    <n v="67"/>
  </r>
  <r>
    <s v="Andhra Pradesh"/>
    <x v="1"/>
    <s v="Samsung Wave III S8600"/>
    <s v="Units"/>
    <n v="76"/>
    <n v="82"/>
    <n v="85"/>
    <n v="87"/>
    <n v="39"/>
  </r>
  <r>
    <s v="Andhra Pradesh"/>
    <x v="1"/>
    <s v="Samsung Wave Y S5380"/>
    <s v="Units"/>
    <n v="42"/>
    <n v="30"/>
    <n v="29"/>
    <n v="70"/>
    <n v="38"/>
  </r>
  <r>
    <s v="Andhra Pradesh"/>
    <x v="1"/>
    <s v="Samsung Galaxy Tab 730"/>
    <s v="Units"/>
    <n v="54"/>
    <n v="48"/>
    <n v="92"/>
    <n v="30"/>
    <n v="79"/>
  </r>
  <r>
    <s v="Andhra Pradesh"/>
    <x v="1"/>
    <s v="Samsung Galaxy Note GT-N7000"/>
    <s v="Units"/>
    <n v="28"/>
    <n v="68"/>
    <n v="16"/>
    <n v="75"/>
    <n v="99"/>
  </r>
  <r>
    <s v="Andhra Pradesh"/>
    <x v="1"/>
    <s v="Samsung Galaxy R I9103"/>
    <s v="Units"/>
    <n v="73"/>
    <n v="78"/>
    <n v="74"/>
    <n v="65"/>
    <n v="22"/>
  </r>
  <r>
    <s v="Andhra Pradesh"/>
    <x v="1"/>
    <s v="Samsung Galaxy S Plus I9001"/>
    <s v="Units"/>
    <n v="88"/>
    <n v="26"/>
    <n v="96"/>
    <n v="99"/>
    <n v="19"/>
  </r>
  <r>
    <s v="Andhra Pradesh"/>
    <x v="1"/>
    <s v="Samsung Galaxy Y S5360"/>
    <s v="Units"/>
    <n v="31"/>
    <n v="40"/>
    <n v="67"/>
    <n v="89"/>
    <n v="43"/>
  </r>
  <r>
    <s v="Andhra Pradesh"/>
    <x v="1"/>
    <s v="Samsung Galaxy S II"/>
    <s v="Units"/>
    <n v="17"/>
    <n v="33"/>
    <n v="86"/>
    <n v="91"/>
    <n v="13"/>
  </r>
  <r>
    <s v="Andhra Pradesh"/>
    <x v="2"/>
    <s v="Sony Ericsson Live WT19i"/>
    <s v="Units"/>
    <n v="53"/>
    <n v="11"/>
    <n v="49"/>
    <n v="26"/>
    <n v="53"/>
  </r>
  <r>
    <s v="Andhra Pradesh"/>
    <x v="2"/>
    <s v="Sony Ericsson Xperia Arc S"/>
    <s v="Units"/>
    <n v="81"/>
    <n v="86"/>
    <n v="56"/>
    <n v="24"/>
    <n v="69"/>
  </r>
  <r>
    <s v="Andhra Pradesh"/>
    <x v="2"/>
    <s v="Sony Ericsson Xperia Pro"/>
    <s v="Units"/>
    <n v="25"/>
    <n v="37"/>
    <n v="66"/>
    <n v="70"/>
    <n v="32"/>
  </r>
  <r>
    <s v="Andhra Pradesh"/>
    <x v="2"/>
    <s v="Sony Ericsson Xperia Active ST17i"/>
    <s v="Units"/>
    <n v="58"/>
    <n v="84"/>
    <n v="37"/>
    <n v="85"/>
    <n v="64"/>
  </r>
  <r>
    <s v="Andhra Pradesh"/>
    <x v="2"/>
    <s v="Sony Ericsson Xperia Neo V"/>
    <s v="Units"/>
    <n v="70"/>
    <n v="24"/>
    <n v="47"/>
    <n v="25"/>
    <n v="46"/>
  </r>
  <r>
    <s v="Andhra Pradesh"/>
    <x v="2"/>
    <s v="Sony Ericsson Xperia Ray ST18i"/>
    <s v="Units"/>
    <n v="76"/>
    <n v="61"/>
    <n v="56"/>
    <n v="94"/>
    <n v="24"/>
  </r>
  <r>
    <s v="Andhra Pradesh"/>
    <x v="2"/>
    <s v="Sony Ericsson Xperia Mini Pro SK17i"/>
    <s v="Units"/>
    <n v="44"/>
    <n v="25"/>
    <n v="78"/>
    <n v="71"/>
    <n v="76"/>
  </r>
  <r>
    <s v="Andhra Pradesh"/>
    <x v="2"/>
    <s v="Sony Ericsson Xperia Mini ST15i"/>
    <s v="Units"/>
    <n v="65"/>
    <n v="59"/>
    <n v="88"/>
    <n v="64"/>
    <n v="86"/>
  </r>
  <r>
    <s v="Andhra Pradesh"/>
    <x v="2"/>
    <s v="Sony Ericsson Fengli txt pro CK15i"/>
    <s v="Units"/>
    <n v="77"/>
    <n v="59"/>
    <n v="81"/>
    <n v="52"/>
    <n v="79"/>
  </r>
  <r>
    <s v="Andhra Pradesh"/>
    <x v="2"/>
    <s v="Sony Ericsson Xperia 32GB"/>
    <s v="Units"/>
    <n v="56"/>
    <n v="76"/>
    <n v="88"/>
    <n v="61"/>
    <n v="94"/>
  </r>
  <r>
    <s v="Andhra Pradesh"/>
    <x v="3"/>
    <s v="HTC Sensation XE"/>
    <s v="Units"/>
    <n v="30"/>
    <n v="90"/>
    <n v="17"/>
    <n v="46"/>
    <n v="68"/>
  </r>
  <r>
    <s v="Andhra Pradesh"/>
    <x v="3"/>
    <s v="HTC Rhyme (Sea Glass)"/>
    <s v="Units"/>
    <n v="82"/>
    <n v="95"/>
    <n v="92"/>
    <n v="78"/>
    <n v="73"/>
  </r>
  <r>
    <s v="Andhra Pradesh"/>
    <x v="3"/>
    <s v="HTC Radar"/>
    <s v="Units"/>
    <n v="47"/>
    <n v="57"/>
    <n v="38"/>
    <n v="55"/>
    <n v="13"/>
  </r>
  <r>
    <s v="Andhra Pradesh"/>
    <x v="3"/>
    <s v="HTC Explorer"/>
    <s v="Units"/>
    <n v="18"/>
    <n v="58"/>
    <n v="69"/>
    <n v="34"/>
    <n v="49"/>
  </r>
  <r>
    <s v="Andhra Pradesh"/>
    <x v="3"/>
    <s v="HTC Evo 3D"/>
    <s v="Units"/>
    <n v="72"/>
    <n v="66"/>
    <n v="22"/>
    <n v="95"/>
    <n v="82"/>
  </r>
  <r>
    <s v="Andhra Pradesh"/>
    <x v="3"/>
    <s v="HTC ChaCha"/>
    <s v="Units"/>
    <n v="14"/>
    <n v="22"/>
    <n v="24"/>
    <n v="47"/>
    <n v="36"/>
  </r>
  <r>
    <s v="Andhra Pradesh"/>
    <x v="3"/>
    <s v="HTC Sensation"/>
    <s v="Units"/>
    <n v="31"/>
    <n v="12"/>
    <n v="37"/>
    <n v="83"/>
    <n v="62"/>
  </r>
  <r>
    <s v="Andhra Pradesh"/>
    <x v="3"/>
    <s v="HTC Wildfire S"/>
    <s v="Units"/>
    <n v="38"/>
    <n v="28"/>
    <n v="77"/>
    <n v="45"/>
    <n v="76"/>
  </r>
  <r>
    <s v="Andhra Pradesh"/>
    <x v="3"/>
    <s v="HTC Incredible S"/>
    <s v="Units"/>
    <n v="33"/>
    <n v="26"/>
    <n v="85"/>
    <n v="51"/>
    <n v="60"/>
  </r>
  <r>
    <s v="Andhra Pradesh"/>
    <x v="3"/>
    <s v="HTC Desire S"/>
    <s v="Units"/>
    <n v="57"/>
    <n v="94"/>
    <n v="30"/>
    <n v="56"/>
    <n v="83"/>
  </r>
  <r>
    <s v="Andhra Pradesh"/>
    <x v="4"/>
    <s v="LG Optimus Sol E730"/>
    <s v="Units"/>
    <n v="89"/>
    <n v="76"/>
    <n v="19"/>
    <n v="14"/>
    <n v="53"/>
  </r>
  <r>
    <s v="Andhra Pradesh"/>
    <x v="4"/>
    <s v="LG Optimus Net Dual P698"/>
    <s v="Units"/>
    <n v="82"/>
    <n v="29"/>
    <n v="77"/>
    <n v="32"/>
    <n v="23"/>
  </r>
  <r>
    <s v="Andhra Pradesh"/>
    <x v="4"/>
    <s v="LG Optimus 3D P920"/>
    <s v="Units"/>
    <n v="79"/>
    <n v="32"/>
    <n v="88"/>
    <n v="88"/>
    <n v="33"/>
  </r>
  <r>
    <s v="Andhra Pradesh"/>
    <x v="4"/>
    <s v="LG Optimus NET P690"/>
    <s v="Units"/>
    <n v="63"/>
    <n v="10"/>
    <n v="39"/>
    <n v="89"/>
    <n v="99"/>
  </r>
  <r>
    <s v="Andhra Pradesh"/>
    <x v="4"/>
    <s v="LG Optimus Pro C660"/>
    <s v="Units"/>
    <n v="49"/>
    <n v="85"/>
    <n v="17"/>
    <n v="93"/>
    <n v="95"/>
  </r>
  <r>
    <s v="Andhra Pradesh"/>
    <x v="4"/>
    <s v="LG Optimus Black P970"/>
    <s v="Units"/>
    <n v="48"/>
    <n v="15"/>
    <n v="64"/>
    <n v="12"/>
    <n v="95"/>
  </r>
  <r>
    <s v="Andhra Pradesh"/>
    <x v="4"/>
    <s v="LG Optimus 2X"/>
    <s v="Units"/>
    <n v="88"/>
    <n v="12"/>
    <n v="50"/>
    <n v="91"/>
    <n v="28"/>
  </r>
  <r>
    <s v="Andhra Pradesh"/>
    <x v="4"/>
    <s v="LG Optimus One P500"/>
    <s v="Units"/>
    <n v="40"/>
    <n v="35"/>
    <n v="66"/>
    <n v="87"/>
    <n v="99"/>
  </r>
  <r>
    <s v="Andhra Pradesh"/>
    <x v="4"/>
    <s v="LG Optimus 5X"/>
    <s v="Units"/>
    <n v="63"/>
    <n v="77"/>
    <n v="95"/>
    <n v="40"/>
    <n v="74"/>
  </r>
  <r>
    <s v="Andhra Pradesh"/>
    <x v="4"/>
    <s v="LG Optimus 12X"/>
    <s v="Units"/>
    <n v="26"/>
    <n v="99"/>
    <n v="39"/>
    <n v="27"/>
    <n v="61"/>
  </r>
  <r>
    <s v="Andhra Pradesh"/>
    <x v="5"/>
    <s v="Motorola Razr XT910"/>
    <s v="Units"/>
    <n v="24"/>
    <n v="57"/>
    <n v="38"/>
    <n v="45"/>
    <n v="63"/>
  </r>
  <r>
    <s v="Andhra Pradesh"/>
    <x v="5"/>
    <s v="Motorola Defy+"/>
    <s v="Units"/>
    <n v="33"/>
    <n v="35"/>
    <n v="24"/>
    <n v="92"/>
    <n v="48"/>
  </r>
  <r>
    <s v="Andhra Pradesh"/>
    <x v="5"/>
    <s v="Motorola Fire XT530"/>
    <s v="Units"/>
    <n v="16"/>
    <n v="48"/>
    <n v="74"/>
    <n v="64"/>
    <n v="49"/>
  </r>
  <r>
    <s v="Andhra Pradesh"/>
    <x v="5"/>
    <s v="Motorola Brea EX119"/>
    <s v="Units"/>
    <n v="32"/>
    <n v="28"/>
    <n v="28"/>
    <n v="49"/>
    <n v="84"/>
  </r>
  <r>
    <s v="Andhra Pradesh"/>
    <x v="5"/>
    <s v="Motorola Fire"/>
    <s v="Units"/>
    <n v="70"/>
    <n v="79"/>
    <n v="72"/>
    <n v="15"/>
    <n v="13"/>
  </r>
  <r>
    <s v="Andhra Pradesh"/>
    <x v="5"/>
    <s v="Motorola Xoom 32GB (Wi-Fi) Tablet"/>
    <s v="Units"/>
    <n v="33"/>
    <n v="27"/>
    <n v="87"/>
    <n v="12"/>
    <n v="33"/>
  </r>
  <r>
    <s v="Andhra Pradesh"/>
    <x v="5"/>
    <s v="Motorola Xoom 32GB (Wi-Fi+3G) Tablet"/>
    <s v="Units"/>
    <n v="74"/>
    <n v="86"/>
    <n v="60"/>
    <n v="50"/>
    <n v="81"/>
  </r>
  <r>
    <s v="Andhra Pradesh"/>
    <x v="5"/>
    <s v="Motorola Milestone 4GB"/>
    <s v="Units"/>
    <n v="81"/>
    <n v="39"/>
    <n v="70"/>
    <n v="23"/>
    <n v="30"/>
  </r>
  <r>
    <s v="Andhra Pradesh"/>
    <x v="5"/>
    <s v="Motorola Milestone 16GB"/>
    <s v="Units"/>
    <n v="57"/>
    <n v="10"/>
    <n v="21"/>
    <n v="57"/>
    <n v="30"/>
  </r>
  <r>
    <s v="Andhra Pradesh"/>
    <x v="5"/>
    <s v="Motorola Milestone 32GB"/>
    <s v="Units"/>
    <n v="80"/>
    <n v="33"/>
    <n v="67"/>
    <n v="48"/>
    <n v="13"/>
  </r>
  <r>
    <s v="Andhra Pradesh"/>
    <x v="6"/>
    <s v="Blackberry Bold 9790"/>
    <s v="Units"/>
    <n v="90"/>
    <n v="97"/>
    <n v="62"/>
    <n v="87"/>
    <n v="55"/>
  </r>
  <r>
    <s v="Andhra Pradesh"/>
    <x v="6"/>
    <s v="Blackberry Curve 9380"/>
    <s v="Units"/>
    <n v="94"/>
    <n v="46"/>
    <n v="43"/>
    <n v="23"/>
    <n v="89"/>
  </r>
  <r>
    <s v="Andhra Pradesh"/>
    <x v="6"/>
    <s v="Blackberry Torch 9860"/>
    <s v="Units"/>
    <n v="66"/>
    <n v="60"/>
    <n v="47"/>
    <n v="23"/>
    <n v="62"/>
  </r>
  <r>
    <s v="Andhra Pradesh"/>
    <x v="6"/>
    <s v="Blackberry Curve 9360"/>
    <s v="Units"/>
    <n v="26"/>
    <n v="93"/>
    <n v="53"/>
    <n v="10"/>
    <n v="74"/>
  </r>
  <r>
    <s v="Andhra Pradesh"/>
    <x v="6"/>
    <s v="Blackberry Torch 9810"/>
    <s v="Units"/>
    <n v="22"/>
    <n v="31"/>
    <n v="63"/>
    <n v="27"/>
    <n v="99"/>
  </r>
  <r>
    <s v="Andhra Pradesh"/>
    <x v="6"/>
    <s v="Blackberry Bold 4 9900"/>
    <s v="Units"/>
    <n v="21"/>
    <n v="76"/>
    <n v="61"/>
    <n v="25"/>
    <n v="19"/>
  </r>
  <r>
    <s v="Andhra Pradesh"/>
    <x v="6"/>
    <s v="Blackberry Playbook 64GB Wi-Fi Tablet"/>
    <s v="Units"/>
    <n v="16"/>
    <n v="36"/>
    <n v="33"/>
    <n v="54"/>
    <n v="28"/>
  </r>
  <r>
    <s v="Andhra Pradesh"/>
    <x v="6"/>
    <s v="Blackberry Playbook 32GB Wi-Fi Tablet"/>
    <s v="Units"/>
    <n v="56"/>
    <n v="19"/>
    <n v="25"/>
    <n v="32"/>
    <n v="78"/>
  </r>
  <r>
    <s v="Andhra Pradesh"/>
    <x v="6"/>
    <s v="Blackberry Playbook 16GB Wi-Fi Tablet"/>
    <s v="Units"/>
    <n v="38"/>
    <n v="98"/>
    <n v="83"/>
    <n v="28"/>
    <n v="30"/>
  </r>
  <r>
    <s v="Andhra Pradesh"/>
    <x v="6"/>
    <s v="Blackberry Bold 9780"/>
    <s v="Units"/>
    <n v="70"/>
    <n v="75"/>
    <n v="89"/>
    <n v="65"/>
    <n v="27"/>
  </r>
  <r>
    <s v="Andhra Pradesh"/>
    <x v="7"/>
    <s v="Apple iPhone 4S 64GB"/>
    <s v="Units"/>
    <n v="24"/>
    <n v="60"/>
    <n v="35"/>
    <n v="86"/>
    <n v="50"/>
  </r>
  <r>
    <s v="Andhra Pradesh"/>
    <x v="7"/>
    <s v="Apple iPhone 4S 32GB"/>
    <s v="Units"/>
    <n v="60"/>
    <n v="41"/>
    <n v="43"/>
    <n v="81"/>
    <n v="86"/>
  </r>
  <r>
    <s v="Andhra Pradesh"/>
    <x v="7"/>
    <s v="Apple iPhone 4S 16GB"/>
    <s v="Units"/>
    <n v="100"/>
    <n v="43"/>
    <n v="23"/>
    <n v="95"/>
    <n v="48"/>
  </r>
  <r>
    <s v="Andhra Pradesh"/>
    <x v="7"/>
    <s v="Apple iPhone 4 8GB"/>
    <s v="Units"/>
    <n v="52"/>
    <n v="19"/>
    <n v="84"/>
    <n v="66"/>
    <n v="36"/>
  </r>
  <r>
    <s v="Andhra Pradesh"/>
    <x v="7"/>
    <s v="Apple iPad 2 16GB (Wi-Fi) Tablet"/>
    <s v="Units"/>
    <n v="10"/>
    <n v="83"/>
    <n v="65"/>
    <n v="11"/>
    <n v="41"/>
  </r>
  <r>
    <s v="Andhra Pradesh"/>
    <x v="7"/>
    <s v="Apple iPad 2 32GB (Wi-Fi) Tablet"/>
    <s v="Units"/>
    <n v="42"/>
    <n v="34"/>
    <n v="23"/>
    <n v="95"/>
    <n v="74"/>
  </r>
  <r>
    <s v="Andhra Pradesh"/>
    <x v="7"/>
    <s v="Apple iPad 2 64GB (Wi-Fi) Tablet"/>
    <s v="Units"/>
    <n v="50"/>
    <n v="40"/>
    <n v="71"/>
    <n v="76"/>
    <n v="92"/>
  </r>
  <r>
    <s v="Andhra Pradesh"/>
    <x v="7"/>
    <s v="Apple iPad 2 16GB (Wi-Fi+3G) Tablet"/>
    <s v="Units"/>
    <n v="70"/>
    <n v="42"/>
    <n v="32"/>
    <n v="54"/>
    <n v="35"/>
  </r>
  <r>
    <s v="Andhra Pradesh"/>
    <x v="7"/>
    <s v="Apple iPad 2 32GB (Wi-Fi+3G) Tablet"/>
    <s v="Units"/>
    <n v="70"/>
    <n v="41"/>
    <n v="99"/>
    <n v="69"/>
    <n v="37"/>
  </r>
  <r>
    <s v="Andhra Pradesh"/>
    <x v="7"/>
    <s v="Apple iPad 2 64GB (Wi-Fi+3G) Tablet"/>
    <s v="Units"/>
    <n v="38"/>
    <n v="84"/>
    <n v="68"/>
    <n v="87"/>
    <n v="10"/>
  </r>
  <r>
    <s v="Goa"/>
    <x v="0"/>
    <s v="Nokia Lumia 800"/>
    <s v="Units"/>
    <n v="23"/>
    <n v="47"/>
    <n v="67"/>
    <n v="93"/>
    <n v="36"/>
  </r>
  <r>
    <s v="Goa"/>
    <x v="0"/>
    <s v="Nokia Lumia 710"/>
    <s v="Units"/>
    <n v="82"/>
    <n v="96"/>
    <n v="85"/>
    <n v="16"/>
    <n v="23"/>
  </r>
  <r>
    <s v="Goa"/>
    <x v="0"/>
    <s v="Nokia 603"/>
    <s v="Units"/>
    <n v="60"/>
    <n v="44"/>
    <n v="88"/>
    <n v="54"/>
    <n v="14"/>
  </r>
  <r>
    <s v="Goa"/>
    <x v="0"/>
    <s v="Nokia 701"/>
    <s v="Units"/>
    <n v="100"/>
    <n v="86"/>
    <n v="86"/>
    <n v="53"/>
    <n v="14"/>
  </r>
  <r>
    <s v="Goa"/>
    <x v="0"/>
    <s v="Nokia 500 Fate"/>
    <s v="Units"/>
    <n v="51"/>
    <n v="24"/>
    <n v="66"/>
    <n v="77"/>
    <n v="34"/>
  </r>
  <r>
    <s v="Goa"/>
    <x v="0"/>
    <s v="Nokia E6"/>
    <s v="Units"/>
    <n v="61"/>
    <n v="38"/>
    <n v="90"/>
    <n v="36"/>
    <n v="82"/>
  </r>
  <r>
    <s v="Goa"/>
    <x v="0"/>
    <s v="Nokia X7"/>
    <s v="Units"/>
    <n v="47"/>
    <n v="37"/>
    <n v="35"/>
    <n v="89"/>
    <n v="16"/>
  </r>
  <r>
    <s v="Goa"/>
    <x v="0"/>
    <s v="Nokia E7"/>
    <s v="Units"/>
    <n v="76"/>
    <n v="51"/>
    <n v="33"/>
    <n v="62"/>
    <n v="42"/>
  </r>
  <r>
    <s v="Goa"/>
    <x v="0"/>
    <s v="Nokia C3-01"/>
    <s v="Units"/>
    <n v="45"/>
    <n v="35"/>
    <n v="32"/>
    <n v="44"/>
    <n v="48"/>
  </r>
  <r>
    <s v="Goa"/>
    <x v="0"/>
    <s v="Nokia E5"/>
    <s v="Units"/>
    <n v="81"/>
    <n v="19"/>
    <n v="98"/>
    <n v="46"/>
    <n v="20"/>
  </r>
  <r>
    <s v="Goa"/>
    <x v="1"/>
    <s v="Samsung Omnia W I8350"/>
    <s v="Units"/>
    <n v="16"/>
    <n v="66"/>
    <n v="90"/>
    <n v="61"/>
    <n v="64"/>
  </r>
  <r>
    <s v="Goa"/>
    <x v="1"/>
    <s v="Samsung Galaxy Tab 620"/>
    <s v="Units"/>
    <n v="79"/>
    <n v="28"/>
    <n v="64"/>
    <n v="94"/>
    <n v="29"/>
  </r>
  <r>
    <s v="Goa"/>
    <x v="1"/>
    <s v="Samsung Wave III S8600"/>
    <s v="Units"/>
    <n v="79"/>
    <n v="99"/>
    <n v="99"/>
    <n v="50"/>
    <n v="90"/>
  </r>
  <r>
    <s v="Goa"/>
    <x v="1"/>
    <s v="Samsung Wave Y S5380"/>
    <s v="Units"/>
    <n v="16"/>
    <n v="77"/>
    <n v="43"/>
    <n v="45"/>
    <n v="38"/>
  </r>
  <r>
    <s v="Goa"/>
    <x v="1"/>
    <s v="Samsung Galaxy Tab 730"/>
    <s v="Units"/>
    <n v="16"/>
    <n v="72"/>
    <n v="47"/>
    <n v="92"/>
    <n v="12"/>
  </r>
  <r>
    <s v="Goa"/>
    <x v="1"/>
    <s v="Samsung Galaxy Note GT-N7000"/>
    <s v="Units"/>
    <n v="47"/>
    <n v="65"/>
    <n v="86"/>
    <n v="97"/>
    <n v="17"/>
  </r>
  <r>
    <s v="Goa"/>
    <x v="1"/>
    <s v="Samsung Galaxy R I9103"/>
    <s v="Units"/>
    <n v="53"/>
    <n v="69"/>
    <n v="83"/>
    <n v="77"/>
    <n v="36"/>
  </r>
  <r>
    <s v="Goa"/>
    <x v="1"/>
    <s v="Samsung Galaxy S Plus I9001"/>
    <s v="Units"/>
    <n v="50"/>
    <n v="63"/>
    <n v="29"/>
    <n v="44"/>
    <n v="84"/>
  </r>
  <r>
    <s v="Goa"/>
    <x v="1"/>
    <s v="Samsung Galaxy Y S5360"/>
    <s v="Units"/>
    <n v="99"/>
    <n v="58"/>
    <n v="32"/>
    <n v="27"/>
    <n v="13"/>
  </r>
  <r>
    <s v="Goa"/>
    <x v="1"/>
    <s v="Samsung Galaxy S II"/>
    <s v="Units"/>
    <n v="43"/>
    <n v="88"/>
    <n v="25"/>
    <n v="34"/>
    <n v="24"/>
  </r>
  <r>
    <s v="Goa"/>
    <x v="2"/>
    <s v="Sony Ericsson Live WT19i"/>
    <s v="Units"/>
    <n v="20"/>
    <n v="30"/>
    <n v="22"/>
    <n v="76"/>
    <n v="26"/>
  </r>
  <r>
    <s v="Goa"/>
    <x v="2"/>
    <s v="Sony Ericsson Xperia Arc S"/>
    <s v="Units"/>
    <n v="48"/>
    <n v="78"/>
    <n v="58"/>
    <n v="94"/>
    <n v="88"/>
  </r>
  <r>
    <s v="Goa"/>
    <x v="2"/>
    <s v="Sony Ericsson Xperia Pro"/>
    <s v="Units"/>
    <n v="57"/>
    <n v="20"/>
    <n v="92"/>
    <n v="53"/>
    <n v="19"/>
  </r>
  <r>
    <s v="Goa"/>
    <x v="2"/>
    <s v="Sony Ericsson Xperia Active ST17i"/>
    <s v="Units"/>
    <n v="20"/>
    <n v="86"/>
    <n v="17"/>
    <n v="23"/>
    <n v="31"/>
  </r>
  <r>
    <s v="Goa"/>
    <x v="2"/>
    <s v="Sony Ericsson Xperia Neo V"/>
    <s v="Units"/>
    <n v="75"/>
    <n v="10"/>
    <n v="44"/>
    <n v="85"/>
    <n v="83"/>
  </r>
  <r>
    <s v="Goa"/>
    <x v="2"/>
    <s v="Sony Ericsson Xperia Ray ST18i"/>
    <s v="Units"/>
    <n v="85"/>
    <n v="71"/>
    <n v="15"/>
    <n v="84"/>
    <n v="93"/>
  </r>
  <r>
    <s v="Goa"/>
    <x v="2"/>
    <s v="Sony Ericsson Xperia Mini Pro SK17i"/>
    <s v="Units"/>
    <n v="27"/>
    <n v="12"/>
    <n v="38"/>
    <n v="52"/>
    <n v="11"/>
  </r>
  <r>
    <s v="Goa"/>
    <x v="2"/>
    <s v="Sony Ericsson Xperia Mini ST15i"/>
    <s v="Units"/>
    <n v="100"/>
    <n v="33"/>
    <n v="87"/>
    <n v="19"/>
    <n v="66"/>
  </r>
  <r>
    <s v="Goa"/>
    <x v="2"/>
    <s v="Sony Ericsson Fengli txt pro CK15i"/>
    <s v="Units"/>
    <n v="43"/>
    <n v="27"/>
    <n v="40"/>
    <n v="95"/>
    <n v="86"/>
  </r>
  <r>
    <s v="Goa"/>
    <x v="2"/>
    <s v="Sony Ericsson Xperia 32GB"/>
    <s v="Units"/>
    <n v="80"/>
    <n v="48"/>
    <n v="55"/>
    <n v="100"/>
    <n v="71"/>
  </r>
  <r>
    <s v="Goa"/>
    <x v="3"/>
    <s v="HTC Sensation XE"/>
    <s v="Units"/>
    <n v="44"/>
    <n v="69"/>
    <n v="16"/>
    <n v="18"/>
    <n v="90"/>
  </r>
  <r>
    <s v="Goa"/>
    <x v="3"/>
    <s v="HTC Rhyme (Sea Glass)"/>
    <s v="Units"/>
    <n v="40"/>
    <n v="38"/>
    <n v="14"/>
    <n v="65"/>
    <n v="69"/>
  </r>
  <r>
    <s v="Goa"/>
    <x v="3"/>
    <s v="HTC Radar"/>
    <s v="Units"/>
    <n v="60"/>
    <n v="89"/>
    <n v="46"/>
    <n v="78"/>
    <n v="11"/>
  </r>
  <r>
    <s v="Goa"/>
    <x v="3"/>
    <s v="HTC Explorer"/>
    <s v="Units"/>
    <n v="97"/>
    <n v="20"/>
    <n v="30"/>
    <n v="55"/>
    <n v="56"/>
  </r>
  <r>
    <s v="Goa"/>
    <x v="3"/>
    <s v="HTC Evo 3D"/>
    <s v="Units"/>
    <n v="16"/>
    <n v="99"/>
    <n v="44"/>
    <n v="46"/>
    <n v="59"/>
  </r>
  <r>
    <s v="Goa"/>
    <x v="3"/>
    <s v="HTC ChaCha"/>
    <s v="Units"/>
    <n v="55"/>
    <n v="88"/>
    <n v="66"/>
    <n v="37"/>
    <n v="66"/>
  </r>
  <r>
    <s v="Goa"/>
    <x v="3"/>
    <s v="HTC Sensation"/>
    <s v="Units"/>
    <n v="20"/>
    <n v="71"/>
    <n v="10"/>
    <n v="21"/>
    <n v="44"/>
  </r>
  <r>
    <s v="Goa"/>
    <x v="3"/>
    <s v="HTC Wildfire S"/>
    <s v="Units"/>
    <n v="47"/>
    <n v="57"/>
    <n v="43"/>
    <n v="98"/>
    <n v="51"/>
  </r>
  <r>
    <s v="Goa"/>
    <x v="3"/>
    <s v="HTC Incredible S"/>
    <s v="Units"/>
    <n v="42"/>
    <n v="22"/>
    <n v="95"/>
    <n v="53"/>
    <n v="83"/>
  </r>
  <r>
    <s v="Goa"/>
    <x v="3"/>
    <s v="HTC Desire S"/>
    <s v="Units"/>
    <n v="20"/>
    <n v="96"/>
    <n v="10"/>
    <n v="51"/>
    <n v="61"/>
  </r>
  <r>
    <s v="Goa"/>
    <x v="4"/>
    <s v="LG Optimus Sol E730"/>
    <s v="Units"/>
    <n v="22"/>
    <n v="32"/>
    <n v="28"/>
    <n v="44"/>
    <n v="20"/>
  </r>
  <r>
    <s v="Goa"/>
    <x v="4"/>
    <s v="LG Optimus Net Dual P698"/>
    <s v="Units"/>
    <n v="51"/>
    <n v="64"/>
    <n v="26"/>
    <n v="10"/>
    <n v="56"/>
  </r>
  <r>
    <s v="Goa"/>
    <x v="4"/>
    <s v="LG Optimus 3D P920"/>
    <s v="Units"/>
    <n v="16"/>
    <n v="37"/>
    <n v="68"/>
    <n v="28"/>
    <n v="58"/>
  </r>
  <r>
    <s v="Goa"/>
    <x v="4"/>
    <s v="LG Optimus NET P690"/>
    <s v="Units"/>
    <n v="11"/>
    <n v="92"/>
    <n v="59"/>
    <n v="53"/>
    <n v="12"/>
  </r>
  <r>
    <s v="Goa"/>
    <x v="4"/>
    <s v="LG Optimus Pro C660"/>
    <s v="Units"/>
    <n v="54"/>
    <n v="86"/>
    <n v="33"/>
    <n v="58"/>
    <n v="93"/>
  </r>
  <r>
    <s v="Goa"/>
    <x v="4"/>
    <s v="LG Optimus Black P970"/>
    <s v="Units"/>
    <n v="16"/>
    <n v="45"/>
    <n v="26"/>
    <n v="38"/>
    <n v="15"/>
  </r>
  <r>
    <s v="Goa"/>
    <x v="4"/>
    <s v="LG Optimus 2X"/>
    <s v="Units"/>
    <n v="85"/>
    <n v="60"/>
    <n v="44"/>
    <n v="44"/>
    <n v="85"/>
  </r>
  <r>
    <s v="Goa"/>
    <x v="4"/>
    <s v="LG Optimus One P500"/>
    <s v="Units"/>
    <n v="66"/>
    <n v="88"/>
    <n v="31"/>
    <n v="36"/>
    <n v="68"/>
  </r>
  <r>
    <s v="Goa"/>
    <x v="4"/>
    <s v="LG Optimus 5X"/>
    <s v="Units"/>
    <n v="33"/>
    <n v="44"/>
    <n v="60"/>
    <n v="96"/>
    <n v="74"/>
  </r>
  <r>
    <s v="Goa"/>
    <x v="4"/>
    <s v="LG Optimus 12X"/>
    <s v="Units"/>
    <n v="33"/>
    <n v="32"/>
    <n v="10"/>
    <n v="14"/>
    <n v="56"/>
  </r>
  <r>
    <s v="Goa"/>
    <x v="5"/>
    <s v="Motorola Razr XT910"/>
    <s v="Units"/>
    <n v="76"/>
    <n v="96"/>
    <n v="38"/>
    <n v="72"/>
    <n v="93"/>
  </r>
  <r>
    <s v="Goa"/>
    <x v="5"/>
    <s v="Motorola Defy+"/>
    <s v="Units"/>
    <n v="98"/>
    <n v="42"/>
    <n v="80"/>
    <n v="41"/>
    <n v="38"/>
  </r>
  <r>
    <s v="Goa"/>
    <x v="5"/>
    <s v="Motorola Fire XT530"/>
    <s v="Units"/>
    <n v="78"/>
    <n v="35"/>
    <n v="17"/>
    <n v="95"/>
    <n v="69"/>
  </r>
  <r>
    <s v="Goa"/>
    <x v="5"/>
    <s v="Motorola Brea EX119"/>
    <s v="Units"/>
    <n v="48"/>
    <n v="11"/>
    <n v="53"/>
    <n v="91"/>
    <n v="99"/>
  </r>
  <r>
    <s v="Goa"/>
    <x v="5"/>
    <s v="Motorola Fire"/>
    <s v="Units"/>
    <n v="35"/>
    <n v="29"/>
    <n v="84"/>
    <n v="56"/>
    <n v="40"/>
  </r>
  <r>
    <s v="Goa"/>
    <x v="5"/>
    <s v="Motorola Xoom 32GB (Wi-Fi) Tablet"/>
    <s v="Units"/>
    <n v="26"/>
    <n v="68"/>
    <n v="25"/>
    <n v="51"/>
    <n v="16"/>
  </r>
  <r>
    <s v="Goa"/>
    <x v="5"/>
    <s v="Motorola Xoom 32GB (Wi-Fi+3G) Tablet"/>
    <s v="Units"/>
    <n v="88"/>
    <n v="48"/>
    <n v="93"/>
    <n v="18"/>
    <n v="52"/>
  </r>
  <r>
    <s v="Goa"/>
    <x v="5"/>
    <s v="Motorola Milestone 4GB"/>
    <s v="Units"/>
    <n v="39"/>
    <n v="94"/>
    <n v="38"/>
    <n v="17"/>
    <n v="55"/>
  </r>
  <r>
    <s v="Goa"/>
    <x v="5"/>
    <s v="Motorola Milestone 16GB"/>
    <s v="Units"/>
    <n v="79"/>
    <n v="44"/>
    <n v="44"/>
    <n v="22"/>
    <n v="26"/>
  </r>
  <r>
    <s v="Goa"/>
    <x v="5"/>
    <s v="Motorola Milestone 32GB"/>
    <s v="Units"/>
    <n v="96"/>
    <n v="73"/>
    <n v="90"/>
    <n v="45"/>
    <n v="60"/>
  </r>
  <r>
    <s v="Goa"/>
    <x v="6"/>
    <s v="Blackberry Bold 9790"/>
    <s v="Units"/>
    <n v="62"/>
    <n v="91"/>
    <n v="46"/>
    <n v="79"/>
    <n v="82"/>
  </r>
  <r>
    <s v="Goa"/>
    <x v="6"/>
    <s v="Blackberry Curve 9380"/>
    <s v="Units"/>
    <n v="82"/>
    <n v="37"/>
    <n v="60"/>
    <n v="90"/>
    <n v="73"/>
  </r>
  <r>
    <s v="Goa"/>
    <x v="6"/>
    <s v="Blackberry Torch 9860"/>
    <s v="Units"/>
    <n v="42"/>
    <n v="21"/>
    <n v="91"/>
    <n v="37"/>
    <n v="30"/>
  </r>
  <r>
    <s v="Goa"/>
    <x v="6"/>
    <s v="Blackberry Curve 9360"/>
    <s v="Units"/>
    <n v="84"/>
    <n v="55"/>
    <n v="70"/>
    <n v="86"/>
    <n v="57"/>
  </r>
  <r>
    <s v="Goa"/>
    <x v="6"/>
    <s v="Blackberry Torch 9810"/>
    <s v="Units"/>
    <n v="34"/>
    <n v="68"/>
    <n v="64"/>
    <n v="76"/>
    <n v="23"/>
  </r>
  <r>
    <s v="Goa"/>
    <x v="6"/>
    <s v="Blackberry Bold 4 9900"/>
    <s v="Units"/>
    <n v="29"/>
    <n v="58"/>
    <n v="87"/>
    <n v="15"/>
    <n v="29"/>
  </r>
  <r>
    <s v="Goa"/>
    <x v="6"/>
    <s v="Blackberry Playbook 64GB Wi-Fi Tablet"/>
    <s v="Units"/>
    <n v="31"/>
    <n v="43"/>
    <n v="58"/>
    <n v="10"/>
    <n v="29"/>
  </r>
  <r>
    <s v="Goa"/>
    <x v="6"/>
    <s v="Blackberry Playbook 32GB Wi-Fi Tablet"/>
    <s v="Units"/>
    <n v="94"/>
    <n v="79"/>
    <n v="77"/>
    <n v="35"/>
    <n v="37"/>
  </r>
  <r>
    <s v="Goa"/>
    <x v="6"/>
    <s v="Blackberry Playbook 16GB Wi-Fi Tablet"/>
    <s v="Units"/>
    <n v="42"/>
    <n v="82"/>
    <n v="76"/>
    <n v="44"/>
    <n v="10"/>
  </r>
  <r>
    <s v="Goa"/>
    <x v="6"/>
    <s v="Blackberry Bold 9780"/>
    <s v="Units"/>
    <n v="22"/>
    <n v="64"/>
    <n v="80"/>
    <n v="22"/>
    <n v="99"/>
  </r>
  <r>
    <s v="Goa"/>
    <x v="7"/>
    <s v="Apple iPhone 4S 64GB"/>
    <s v="Units"/>
    <n v="31"/>
    <n v="93"/>
    <n v="91"/>
    <n v="47"/>
    <n v="44"/>
  </r>
  <r>
    <s v="Goa"/>
    <x v="7"/>
    <s v="Apple iPhone 4S 32GB"/>
    <s v="Units"/>
    <n v="42"/>
    <n v="24"/>
    <n v="82"/>
    <n v="56"/>
    <n v="36"/>
  </r>
  <r>
    <s v="Goa"/>
    <x v="7"/>
    <s v="Apple iPhone 4S 16GB"/>
    <s v="Units"/>
    <n v="41"/>
    <n v="16"/>
    <n v="40"/>
    <n v="88"/>
    <n v="95"/>
  </r>
  <r>
    <s v="Goa"/>
    <x v="7"/>
    <s v="Apple iPhone 4 8GB"/>
    <s v="Units"/>
    <n v="45"/>
    <n v="81"/>
    <n v="58"/>
    <n v="26"/>
    <n v="97"/>
  </r>
  <r>
    <s v="Goa"/>
    <x v="7"/>
    <s v="Apple iPad 2 16GB (Wi-Fi) Tablet"/>
    <s v="Units"/>
    <n v="64"/>
    <n v="91"/>
    <n v="35"/>
    <n v="58"/>
    <n v="14"/>
  </r>
  <r>
    <s v="Goa"/>
    <x v="7"/>
    <s v="Apple iPad 2 32GB (Wi-Fi) Tablet"/>
    <s v="Units"/>
    <n v="94"/>
    <n v="61"/>
    <n v="49"/>
    <n v="29"/>
    <n v="99"/>
  </r>
  <r>
    <s v="Goa"/>
    <x v="7"/>
    <s v="Apple iPad 2 64GB (Wi-Fi) Tablet"/>
    <s v="Units"/>
    <n v="21"/>
    <n v="66"/>
    <n v="89"/>
    <n v="98"/>
    <n v="63"/>
  </r>
  <r>
    <s v="Goa"/>
    <x v="7"/>
    <s v="Apple iPad 2 16GB (Wi-Fi+3G) Tablet"/>
    <s v="Units"/>
    <n v="24"/>
    <n v="27"/>
    <n v="22"/>
    <n v="24"/>
    <n v="74"/>
  </r>
  <r>
    <s v="Goa"/>
    <x v="7"/>
    <s v="Apple iPad 2 32GB (Wi-Fi+3G) Tablet"/>
    <s v="Units"/>
    <n v="36"/>
    <n v="56"/>
    <n v="94"/>
    <n v="74"/>
    <n v="21"/>
  </r>
  <r>
    <s v="Goa"/>
    <x v="7"/>
    <s v="Apple iPad 2 64GB (Wi-Fi+3G) Tablet"/>
    <s v="Units"/>
    <n v="14"/>
    <n v="16"/>
    <n v="37"/>
    <n v="81"/>
    <n v="92"/>
  </r>
  <r>
    <s v="Karnataka"/>
    <x v="0"/>
    <s v="Nokia Lumia 800"/>
    <s v="Units"/>
    <n v="13"/>
    <n v="50"/>
    <n v="45"/>
    <n v="56"/>
    <n v="87"/>
  </r>
  <r>
    <s v="Karnataka"/>
    <x v="0"/>
    <s v="Nokia Lumia 710"/>
    <s v="Units"/>
    <n v="99"/>
    <n v="13"/>
    <n v="48"/>
    <n v="21"/>
    <n v="70"/>
  </r>
  <r>
    <s v="Karnataka"/>
    <x v="0"/>
    <s v="Nokia 603"/>
    <s v="Units"/>
    <n v="73"/>
    <n v="85"/>
    <n v="77"/>
    <n v="83"/>
    <n v="80"/>
  </r>
  <r>
    <s v="Karnataka"/>
    <x v="0"/>
    <s v="Nokia 701"/>
    <s v="Units"/>
    <n v="56"/>
    <n v="76"/>
    <n v="27"/>
    <n v="66"/>
    <n v="20"/>
  </r>
  <r>
    <s v="Karnataka"/>
    <x v="0"/>
    <s v="Nokia 500 Fate"/>
    <s v="Units"/>
    <n v="69"/>
    <n v="34"/>
    <n v="11"/>
    <n v="48"/>
    <n v="28"/>
  </r>
  <r>
    <s v="Karnataka"/>
    <x v="0"/>
    <s v="Nokia E6"/>
    <s v="Units"/>
    <n v="21"/>
    <n v="30"/>
    <n v="88"/>
    <n v="76"/>
    <n v="16"/>
  </r>
  <r>
    <s v="Karnataka"/>
    <x v="0"/>
    <s v="Nokia X7"/>
    <s v="Units"/>
    <n v="44"/>
    <n v="47"/>
    <n v="11"/>
    <n v="10"/>
    <n v="64"/>
  </r>
  <r>
    <s v="Karnataka"/>
    <x v="0"/>
    <s v="Nokia E7"/>
    <s v="Units"/>
    <n v="10"/>
    <n v="30"/>
    <n v="45"/>
    <n v="100"/>
    <n v="82"/>
  </r>
  <r>
    <s v="Karnataka"/>
    <x v="0"/>
    <s v="Nokia C3-01"/>
    <s v="Units"/>
    <n v="41"/>
    <n v="84"/>
    <n v="81"/>
    <n v="64"/>
    <n v="78"/>
  </r>
  <r>
    <s v="Karnataka"/>
    <x v="0"/>
    <s v="Nokia E5"/>
    <s v="Units"/>
    <n v="49"/>
    <n v="69"/>
    <n v="74"/>
    <n v="22"/>
    <n v="63"/>
  </r>
  <r>
    <s v="Karnataka"/>
    <x v="1"/>
    <s v="Samsung Omnia W I8350"/>
    <s v="Units"/>
    <n v="17"/>
    <n v="45"/>
    <n v="83"/>
    <n v="60"/>
    <n v="13"/>
  </r>
  <r>
    <s v="Karnataka"/>
    <x v="1"/>
    <s v="Samsung Galaxy Tab 620"/>
    <s v="Units"/>
    <n v="95"/>
    <n v="96"/>
    <n v="69"/>
    <n v="64"/>
    <n v="92"/>
  </r>
  <r>
    <s v="Karnataka"/>
    <x v="1"/>
    <s v="Samsung Wave III S8600"/>
    <s v="Units"/>
    <n v="83"/>
    <n v="54"/>
    <n v="34"/>
    <n v="94"/>
    <n v="53"/>
  </r>
  <r>
    <s v="Karnataka"/>
    <x v="1"/>
    <s v="Samsung Wave Y S5380"/>
    <s v="Units"/>
    <n v="32"/>
    <n v="51"/>
    <n v="50"/>
    <n v="25"/>
    <n v="36"/>
  </r>
  <r>
    <s v="Karnataka"/>
    <x v="1"/>
    <s v="Samsung Galaxy Tab 730"/>
    <s v="Units"/>
    <n v="73"/>
    <n v="74"/>
    <n v="84"/>
    <n v="72"/>
    <n v="26"/>
  </r>
  <r>
    <s v="Karnataka"/>
    <x v="1"/>
    <s v="Samsung Galaxy Note GT-N7000"/>
    <s v="Units"/>
    <n v="92"/>
    <n v="63"/>
    <n v="77"/>
    <n v="30"/>
    <n v="31"/>
  </r>
  <r>
    <s v="Karnataka"/>
    <x v="1"/>
    <s v="Samsung Galaxy R I9103"/>
    <s v="Units"/>
    <n v="15"/>
    <n v="73"/>
    <n v="41"/>
    <n v="50"/>
    <n v="25"/>
  </r>
  <r>
    <s v="Karnataka"/>
    <x v="1"/>
    <s v="Samsung Galaxy S Plus I9001"/>
    <s v="Units"/>
    <n v="34"/>
    <n v="40"/>
    <n v="67"/>
    <n v="20"/>
    <n v="25"/>
  </r>
  <r>
    <s v="Karnataka"/>
    <x v="1"/>
    <s v="Samsung Galaxy Y S5360"/>
    <s v="Units"/>
    <n v="22"/>
    <n v="59"/>
    <n v="94"/>
    <n v="46"/>
    <n v="34"/>
  </r>
  <r>
    <s v="Karnataka"/>
    <x v="1"/>
    <s v="Samsung Galaxy S II"/>
    <s v="Units"/>
    <n v="15"/>
    <n v="31"/>
    <n v="35"/>
    <n v="72"/>
    <n v="33"/>
  </r>
  <r>
    <s v="Karnataka"/>
    <x v="2"/>
    <s v="Sony Ericsson Live WT19i"/>
    <s v="Units"/>
    <n v="41"/>
    <n v="31"/>
    <n v="29"/>
    <n v="88"/>
    <n v="42"/>
  </r>
  <r>
    <s v="Karnataka"/>
    <x v="2"/>
    <s v="Sony Ericsson Xperia Arc S"/>
    <s v="Units"/>
    <n v="49"/>
    <n v="99"/>
    <n v="14"/>
    <n v="79"/>
    <n v="34"/>
  </r>
  <r>
    <s v="Karnataka"/>
    <x v="2"/>
    <s v="Sony Ericsson Xperia Pro"/>
    <s v="Units"/>
    <n v="54"/>
    <n v="57"/>
    <n v="81"/>
    <n v="46"/>
    <n v="15"/>
  </r>
  <r>
    <s v="Karnataka"/>
    <x v="2"/>
    <s v="Sony Ericsson Xperia Active ST17i"/>
    <s v="Units"/>
    <n v="11"/>
    <n v="10"/>
    <n v="41"/>
    <n v="20"/>
    <n v="23"/>
  </r>
  <r>
    <s v="Karnataka"/>
    <x v="2"/>
    <s v="Sony Ericsson Xperia Neo V"/>
    <s v="Units"/>
    <n v="21"/>
    <n v="27"/>
    <n v="24"/>
    <n v="62"/>
    <n v="35"/>
  </r>
  <r>
    <s v="Karnataka"/>
    <x v="2"/>
    <s v="Sony Ericsson Xperia Ray ST18i"/>
    <s v="Units"/>
    <n v="94"/>
    <n v="59"/>
    <n v="91"/>
    <n v="82"/>
    <n v="72"/>
  </r>
  <r>
    <s v="Karnataka"/>
    <x v="2"/>
    <s v="Sony Ericsson Xperia Mini Pro SK17i"/>
    <s v="Units"/>
    <n v="46"/>
    <n v="29"/>
    <n v="47"/>
    <n v="82"/>
    <n v="68"/>
  </r>
  <r>
    <s v="Karnataka"/>
    <x v="2"/>
    <s v="Sony Ericsson Xperia Mini ST15i"/>
    <s v="Units"/>
    <n v="37"/>
    <n v="17"/>
    <n v="62"/>
    <n v="52"/>
    <n v="62"/>
  </r>
  <r>
    <s v="Karnataka"/>
    <x v="2"/>
    <s v="Sony Ericsson Fengli txt pro CK15i"/>
    <s v="Units"/>
    <n v="32"/>
    <n v="11"/>
    <n v="97"/>
    <n v="19"/>
    <n v="76"/>
  </r>
  <r>
    <s v="Karnataka"/>
    <x v="2"/>
    <s v="Sony Ericsson Xperia 32GB"/>
    <s v="Units"/>
    <n v="48"/>
    <n v="79"/>
    <n v="80"/>
    <n v="23"/>
    <n v="87"/>
  </r>
  <r>
    <s v="Karnataka"/>
    <x v="3"/>
    <s v="HTC Sensation XE"/>
    <s v="Units"/>
    <n v="24"/>
    <n v="20"/>
    <n v="86"/>
    <n v="32"/>
    <n v="32"/>
  </r>
  <r>
    <s v="Karnataka"/>
    <x v="3"/>
    <s v="HTC Rhyme (Sea Glass)"/>
    <s v="Units"/>
    <n v="38"/>
    <n v="64"/>
    <n v="37"/>
    <n v="84"/>
    <n v="36"/>
  </r>
  <r>
    <s v="Karnataka"/>
    <x v="3"/>
    <s v="HTC Radar"/>
    <s v="Units"/>
    <n v="67"/>
    <n v="62"/>
    <n v="41"/>
    <n v="44"/>
    <n v="44"/>
  </r>
  <r>
    <s v="Karnataka"/>
    <x v="3"/>
    <s v="HTC Explorer"/>
    <s v="Units"/>
    <n v="16"/>
    <n v="31"/>
    <n v="95"/>
    <n v="31"/>
    <n v="16"/>
  </r>
  <r>
    <s v="Karnataka"/>
    <x v="3"/>
    <s v="HTC Evo 3D"/>
    <s v="Units"/>
    <n v="66"/>
    <n v="90"/>
    <n v="79"/>
    <n v="22"/>
    <n v="11"/>
  </r>
  <r>
    <s v="Karnataka"/>
    <x v="3"/>
    <s v="HTC ChaCha"/>
    <s v="Units"/>
    <n v="20"/>
    <n v="74"/>
    <n v="71"/>
    <n v="33"/>
    <n v="64"/>
  </r>
  <r>
    <s v="Karnataka"/>
    <x v="3"/>
    <s v="HTC Sensation"/>
    <s v="Units"/>
    <n v="38"/>
    <n v="61"/>
    <n v="51"/>
    <n v="56"/>
    <n v="57"/>
  </r>
  <r>
    <s v="Karnataka"/>
    <x v="3"/>
    <s v="HTC Wildfire S"/>
    <s v="Units"/>
    <n v="31"/>
    <n v="41"/>
    <n v="83"/>
    <n v="49"/>
    <n v="89"/>
  </r>
  <r>
    <s v="Karnataka"/>
    <x v="3"/>
    <s v="HTC Incredible S"/>
    <s v="Units"/>
    <n v="44"/>
    <n v="20"/>
    <n v="99"/>
    <n v="60"/>
    <n v="27"/>
  </r>
  <r>
    <s v="Karnataka"/>
    <x v="3"/>
    <s v="HTC Desire S"/>
    <s v="Units"/>
    <n v="11"/>
    <n v="92"/>
    <n v="47"/>
    <n v="56"/>
    <n v="64"/>
  </r>
  <r>
    <s v="Karnataka"/>
    <x v="4"/>
    <s v="LG Optimus Sol E730"/>
    <s v="Units"/>
    <n v="97"/>
    <n v="33"/>
    <n v="100"/>
    <n v="88"/>
    <n v="46"/>
  </r>
  <r>
    <s v="Karnataka"/>
    <x v="4"/>
    <s v="LG Optimus Net Dual P698"/>
    <s v="Units"/>
    <n v="36"/>
    <n v="75"/>
    <n v="88"/>
    <n v="75"/>
    <n v="42"/>
  </r>
  <r>
    <s v="Karnataka"/>
    <x v="4"/>
    <s v="LG Optimus 3D P920"/>
    <s v="Units"/>
    <n v="38"/>
    <n v="38"/>
    <n v="21"/>
    <n v="84"/>
    <n v="30"/>
  </r>
  <r>
    <s v="Karnataka"/>
    <x v="4"/>
    <s v="LG Optimus NET P690"/>
    <s v="Units"/>
    <n v="92"/>
    <n v="68"/>
    <n v="75"/>
    <n v="35"/>
    <n v="59"/>
  </r>
  <r>
    <s v="Karnataka"/>
    <x v="4"/>
    <s v="LG Optimus Pro C660"/>
    <s v="Units"/>
    <n v="61"/>
    <n v="24"/>
    <n v="70"/>
    <n v="83"/>
    <n v="32"/>
  </r>
  <r>
    <s v="Karnataka"/>
    <x v="4"/>
    <s v="LG Optimus Black P970"/>
    <s v="Units"/>
    <n v="37"/>
    <n v="65"/>
    <n v="14"/>
    <n v="95"/>
    <n v="12"/>
  </r>
  <r>
    <s v="Karnataka"/>
    <x v="4"/>
    <s v="LG Optimus 2X"/>
    <s v="Units"/>
    <n v="22"/>
    <n v="52"/>
    <n v="54"/>
    <n v="84"/>
    <n v="69"/>
  </r>
  <r>
    <s v="Karnataka"/>
    <x v="4"/>
    <s v="LG Optimus One P500"/>
    <s v="Units"/>
    <n v="69"/>
    <n v="11"/>
    <n v="84"/>
    <n v="13"/>
    <n v="79"/>
  </r>
  <r>
    <s v="Karnataka"/>
    <x v="4"/>
    <s v="LG Optimus 5X"/>
    <s v="Units"/>
    <n v="99"/>
    <n v="41"/>
    <n v="95"/>
    <n v="40"/>
    <n v="93"/>
  </r>
  <r>
    <s v="Karnataka"/>
    <x v="4"/>
    <s v="LG Optimus 12X"/>
    <s v="Units"/>
    <n v="79"/>
    <n v="74"/>
    <n v="45"/>
    <n v="80"/>
    <n v="22"/>
  </r>
  <r>
    <s v="Karnataka"/>
    <x v="5"/>
    <s v="Motorola Razr XT910"/>
    <s v="Units"/>
    <n v="35"/>
    <n v="37"/>
    <n v="46"/>
    <n v="83"/>
    <n v="78"/>
  </r>
  <r>
    <s v="Karnataka"/>
    <x v="5"/>
    <s v="Motorola Defy+"/>
    <s v="Units"/>
    <n v="46"/>
    <n v="33"/>
    <n v="17"/>
    <n v="27"/>
    <n v="42"/>
  </r>
  <r>
    <s v="Karnataka"/>
    <x v="5"/>
    <s v="Motorola Fire XT530"/>
    <s v="Units"/>
    <n v="69"/>
    <n v="76"/>
    <n v="79"/>
    <n v="28"/>
    <n v="22"/>
  </r>
  <r>
    <s v="Karnataka"/>
    <x v="5"/>
    <s v="Motorola Brea EX119"/>
    <s v="Units"/>
    <n v="40"/>
    <n v="84"/>
    <n v="33"/>
    <n v="38"/>
    <n v="22"/>
  </r>
  <r>
    <s v="Karnataka"/>
    <x v="5"/>
    <s v="Motorola Fire"/>
    <s v="Units"/>
    <n v="92"/>
    <n v="22"/>
    <n v="64"/>
    <n v="100"/>
    <n v="76"/>
  </r>
  <r>
    <s v="Karnataka"/>
    <x v="5"/>
    <s v="Motorola Xoom 32GB (Wi-Fi) Tablet"/>
    <s v="Units"/>
    <n v="23"/>
    <n v="100"/>
    <n v="92"/>
    <n v="30"/>
    <n v="18"/>
  </r>
  <r>
    <s v="Karnataka"/>
    <x v="5"/>
    <s v="Motorola Xoom 32GB (Wi-Fi+3G) Tablet"/>
    <s v="Units"/>
    <n v="61"/>
    <n v="27"/>
    <n v="38"/>
    <n v="10"/>
    <n v="15"/>
  </r>
  <r>
    <s v="Karnataka"/>
    <x v="5"/>
    <s v="Motorola Milestone 4GB"/>
    <s v="Units"/>
    <n v="40"/>
    <n v="39"/>
    <n v="23"/>
    <n v="95"/>
    <n v="23"/>
  </r>
  <r>
    <s v="Karnataka"/>
    <x v="5"/>
    <s v="Motorola Milestone 16GB"/>
    <s v="Units"/>
    <n v="13"/>
    <n v="28"/>
    <n v="90"/>
    <n v="43"/>
    <n v="77"/>
  </r>
  <r>
    <s v="Karnataka"/>
    <x v="5"/>
    <s v="Motorola Milestone 32GB"/>
    <s v="Units"/>
    <n v="39"/>
    <n v="62"/>
    <n v="69"/>
    <n v="74"/>
    <n v="93"/>
  </r>
  <r>
    <s v="Karnataka"/>
    <x v="6"/>
    <s v="Blackberry Bold 9790"/>
    <s v="Units"/>
    <n v="90"/>
    <n v="14"/>
    <n v="29"/>
    <n v="50"/>
    <n v="70"/>
  </r>
  <r>
    <s v="Karnataka"/>
    <x v="6"/>
    <s v="Blackberry Curve 9380"/>
    <s v="Units"/>
    <n v="46"/>
    <n v="24"/>
    <n v="53"/>
    <n v="35"/>
    <n v="27"/>
  </r>
  <r>
    <s v="Karnataka"/>
    <x v="6"/>
    <s v="Blackberry Torch 9860"/>
    <s v="Units"/>
    <n v="81"/>
    <n v="45"/>
    <n v="52"/>
    <n v="60"/>
    <n v="48"/>
  </r>
  <r>
    <s v="Karnataka"/>
    <x v="6"/>
    <s v="Blackberry Curve 9360"/>
    <s v="Units"/>
    <n v="20"/>
    <n v="70"/>
    <n v="51"/>
    <n v="64"/>
    <n v="43"/>
  </r>
  <r>
    <s v="Karnataka"/>
    <x v="6"/>
    <s v="Blackberry Torch 9810"/>
    <s v="Units"/>
    <n v="69"/>
    <n v="65"/>
    <n v="82"/>
    <n v="50"/>
    <n v="19"/>
  </r>
  <r>
    <s v="Karnataka"/>
    <x v="6"/>
    <s v="Blackberry Bold 4 9900"/>
    <s v="Units"/>
    <n v="24"/>
    <n v="43"/>
    <n v="34"/>
    <n v="99"/>
    <n v="32"/>
  </r>
  <r>
    <s v="Karnataka"/>
    <x v="6"/>
    <s v="Blackberry Playbook 64GB Wi-Fi Tablet"/>
    <s v="Units"/>
    <n v="42"/>
    <n v="69"/>
    <n v="11"/>
    <n v="69"/>
    <n v="38"/>
  </r>
  <r>
    <s v="Karnataka"/>
    <x v="6"/>
    <s v="Blackberry Playbook 32GB Wi-Fi Tablet"/>
    <s v="Units"/>
    <n v="83"/>
    <n v="34"/>
    <n v="81"/>
    <n v="91"/>
    <n v="15"/>
  </r>
  <r>
    <s v="Karnataka"/>
    <x v="6"/>
    <s v="Blackberry Playbook 16GB Wi-Fi Tablet"/>
    <s v="Units"/>
    <n v="97"/>
    <n v="25"/>
    <n v="34"/>
    <n v="33"/>
    <n v="35"/>
  </r>
  <r>
    <s v="Karnataka"/>
    <x v="6"/>
    <s v="Blackberry Bold 9780"/>
    <s v="Units"/>
    <n v="42"/>
    <n v="63"/>
    <n v="81"/>
    <n v="39"/>
    <n v="90"/>
  </r>
  <r>
    <s v="Karnataka"/>
    <x v="7"/>
    <s v="Apple iPhone 4S 64GB"/>
    <s v="Units"/>
    <n v="100"/>
    <n v="89"/>
    <n v="87"/>
    <n v="84"/>
    <n v="97"/>
  </r>
  <r>
    <s v="Karnataka"/>
    <x v="7"/>
    <s v="Apple iPhone 4S 32GB"/>
    <s v="Units"/>
    <n v="41"/>
    <n v="15"/>
    <n v="35"/>
    <n v="36"/>
    <n v="82"/>
  </r>
  <r>
    <s v="Karnataka"/>
    <x v="7"/>
    <s v="Apple iPhone 4S 16GB"/>
    <s v="Units"/>
    <n v="18"/>
    <n v="81"/>
    <n v="19"/>
    <n v="45"/>
    <n v="32"/>
  </r>
  <r>
    <s v="Karnataka"/>
    <x v="7"/>
    <s v="Apple iPhone 4 8GB"/>
    <s v="Units"/>
    <n v="50"/>
    <n v="60"/>
    <n v="38"/>
    <n v="18"/>
    <n v="83"/>
  </r>
  <r>
    <s v="Karnataka"/>
    <x v="7"/>
    <s v="Apple iPad 2 16GB (Wi-Fi) Tablet"/>
    <s v="Units"/>
    <n v="63"/>
    <n v="35"/>
    <n v="10"/>
    <n v="60"/>
    <n v="19"/>
  </r>
  <r>
    <s v="Karnataka"/>
    <x v="7"/>
    <s v="Apple iPad 2 32GB (Wi-Fi) Tablet"/>
    <s v="Units"/>
    <n v="67"/>
    <n v="86"/>
    <n v="20"/>
    <n v="45"/>
    <n v="83"/>
  </r>
  <r>
    <s v="Karnataka"/>
    <x v="7"/>
    <s v="Apple iPad 2 64GB (Wi-Fi) Tablet"/>
    <s v="Units"/>
    <n v="76"/>
    <n v="90"/>
    <n v="61"/>
    <n v="32"/>
    <n v="40"/>
  </r>
  <r>
    <s v="Karnataka"/>
    <x v="7"/>
    <s v="Apple iPad 2 16GB (Wi-Fi+3G) Tablet"/>
    <s v="Units"/>
    <n v="93"/>
    <n v="85"/>
    <n v="57"/>
    <n v="86"/>
    <n v="55"/>
  </r>
  <r>
    <s v="Karnataka"/>
    <x v="7"/>
    <s v="Apple iPad 2 32GB (Wi-Fi+3G) Tablet"/>
    <s v="Units"/>
    <n v="87"/>
    <n v="29"/>
    <n v="24"/>
    <n v="62"/>
    <n v="10"/>
  </r>
  <r>
    <s v="Karnataka"/>
    <x v="7"/>
    <s v="Apple iPad 2 64GB (Wi-Fi+3G) Tablet"/>
    <s v="Units"/>
    <n v="34"/>
    <n v="37"/>
    <n v="53"/>
    <n v="97"/>
    <n v="19"/>
  </r>
  <r>
    <s v="Kerala"/>
    <x v="0"/>
    <s v="Nokia Lumia 800"/>
    <s v="Units"/>
    <n v="37"/>
    <n v="45"/>
    <n v="97"/>
    <n v="11"/>
    <n v="14"/>
  </r>
  <r>
    <s v="Kerala"/>
    <x v="0"/>
    <s v="Nokia Lumia 710"/>
    <s v="Units"/>
    <n v="42"/>
    <n v="56"/>
    <n v="48"/>
    <n v="37"/>
    <n v="84"/>
  </r>
  <r>
    <s v="Kerala"/>
    <x v="0"/>
    <s v="Nokia 603"/>
    <s v="Units"/>
    <n v="20"/>
    <n v="68"/>
    <n v="68"/>
    <n v="94"/>
    <n v="79"/>
  </r>
  <r>
    <s v="Kerala"/>
    <x v="0"/>
    <s v="Nokia 701"/>
    <s v="Units"/>
    <n v="35"/>
    <n v="63"/>
    <n v="22"/>
    <n v="84"/>
    <n v="15"/>
  </r>
  <r>
    <s v="Kerala"/>
    <x v="0"/>
    <s v="Nokia 500 Fate"/>
    <s v="Units"/>
    <n v="69"/>
    <n v="94"/>
    <n v="24"/>
    <n v="13"/>
    <n v="56"/>
  </r>
  <r>
    <s v="Kerala"/>
    <x v="0"/>
    <s v="Nokia E6"/>
    <s v="Units"/>
    <n v="46"/>
    <n v="20"/>
    <n v="89"/>
    <n v="21"/>
    <n v="30"/>
  </r>
  <r>
    <s v="Kerala"/>
    <x v="0"/>
    <s v="Nokia X7"/>
    <s v="Units"/>
    <n v="44"/>
    <n v="73"/>
    <n v="93"/>
    <n v="52"/>
    <n v="67"/>
  </r>
  <r>
    <s v="Kerala"/>
    <x v="0"/>
    <s v="Nokia E7"/>
    <s v="Units"/>
    <n v="93"/>
    <n v="54"/>
    <n v="74"/>
    <n v="85"/>
    <n v="95"/>
  </r>
  <r>
    <s v="Kerala"/>
    <x v="0"/>
    <s v="Nokia C3-01"/>
    <s v="Units"/>
    <n v="97"/>
    <n v="97"/>
    <n v="57"/>
    <n v="35"/>
    <n v="75"/>
  </r>
  <r>
    <s v="Kerala"/>
    <x v="0"/>
    <s v="Nokia E5"/>
    <s v="Units"/>
    <n v="34"/>
    <n v="70"/>
    <n v="39"/>
    <n v="19"/>
    <n v="100"/>
  </r>
  <r>
    <s v="Kerala"/>
    <x v="1"/>
    <s v="Samsung Omnia W I8350"/>
    <s v="Units"/>
    <n v="92"/>
    <n v="93"/>
    <n v="89"/>
    <n v="84"/>
    <n v="60"/>
  </r>
  <r>
    <s v="Kerala"/>
    <x v="1"/>
    <s v="Samsung Galaxy Tab 620"/>
    <s v="Units"/>
    <n v="28"/>
    <n v="27"/>
    <n v="69"/>
    <n v="26"/>
    <n v="43"/>
  </r>
  <r>
    <s v="Kerala"/>
    <x v="1"/>
    <s v="Samsung Wave III S8600"/>
    <s v="Units"/>
    <n v="40"/>
    <n v="67"/>
    <n v="57"/>
    <n v="47"/>
    <n v="52"/>
  </r>
  <r>
    <s v="Kerala"/>
    <x v="1"/>
    <s v="Samsung Wave Y S5380"/>
    <s v="Units"/>
    <n v="55"/>
    <n v="38"/>
    <n v="82"/>
    <n v="83"/>
    <n v="69"/>
  </r>
  <r>
    <s v="Kerala"/>
    <x v="1"/>
    <s v="Samsung Galaxy Tab 730"/>
    <s v="Units"/>
    <n v="55"/>
    <n v="23"/>
    <n v="55"/>
    <n v="89"/>
    <n v="91"/>
  </r>
  <r>
    <s v="Kerala"/>
    <x v="1"/>
    <s v="Samsung Galaxy Note GT-N7000"/>
    <s v="Units"/>
    <n v="20"/>
    <n v="54"/>
    <n v="60"/>
    <n v="92"/>
    <n v="82"/>
  </r>
  <r>
    <s v="Kerala"/>
    <x v="1"/>
    <s v="Samsung Galaxy R I9103"/>
    <s v="Units"/>
    <n v="89"/>
    <n v="10"/>
    <n v="86"/>
    <n v="30"/>
    <n v="72"/>
  </r>
  <r>
    <s v="Kerala"/>
    <x v="1"/>
    <s v="Samsung Galaxy S Plus I9001"/>
    <s v="Units"/>
    <n v="20"/>
    <n v="25"/>
    <n v="94"/>
    <n v="79"/>
    <n v="73"/>
  </r>
  <r>
    <s v="Kerala"/>
    <x v="1"/>
    <s v="Samsung Galaxy Y S5360"/>
    <s v="Units"/>
    <n v="69"/>
    <n v="83"/>
    <n v="90"/>
    <n v="95"/>
    <n v="12"/>
  </r>
  <r>
    <s v="Kerala"/>
    <x v="1"/>
    <s v="Samsung Galaxy S II"/>
    <s v="Units"/>
    <n v="75"/>
    <n v="65"/>
    <n v="62"/>
    <n v="78"/>
    <n v="53"/>
  </r>
  <r>
    <s v="Kerala"/>
    <x v="2"/>
    <s v="Sony Ericsson Live WT19i"/>
    <s v="Units"/>
    <n v="47"/>
    <n v="58"/>
    <n v="44"/>
    <n v="79"/>
    <n v="39"/>
  </r>
  <r>
    <s v="Kerala"/>
    <x v="2"/>
    <s v="Sony Ericsson Xperia Arc S"/>
    <s v="Units"/>
    <n v="13"/>
    <n v="12"/>
    <n v="52"/>
    <n v="46"/>
    <n v="54"/>
  </r>
  <r>
    <s v="Kerala"/>
    <x v="2"/>
    <s v="Sony Ericsson Xperia Pro"/>
    <s v="Units"/>
    <n v="69"/>
    <n v="23"/>
    <n v="12"/>
    <n v="62"/>
    <n v="49"/>
  </r>
  <r>
    <s v="Kerala"/>
    <x v="2"/>
    <s v="Sony Ericsson Xperia Active ST17i"/>
    <s v="Units"/>
    <n v="95"/>
    <n v="25"/>
    <n v="28"/>
    <n v="45"/>
    <n v="65"/>
  </r>
  <r>
    <s v="Kerala"/>
    <x v="2"/>
    <s v="Sony Ericsson Xperia Neo V"/>
    <s v="Units"/>
    <n v="51"/>
    <n v="32"/>
    <n v="36"/>
    <n v="52"/>
    <n v="23"/>
  </r>
  <r>
    <s v="Kerala"/>
    <x v="2"/>
    <s v="Sony Ericsson Xperia Ray ST18i"/>
    <s v="Units"/>
    <n v="39"/>
    <n v="35"/>
    <n v="44"/>
    <n v="68"/>
    <n v="28"/>
  </r>
  <r>
    <s v="Kerala"/>
    <x v="2"/>
    <s v="Sony Ericsson Xperia Mini Pro SK17i"/>
    <s v="Units"/>
    <n v="58"/>
    <n v="42"/>
    <n v="72"/>
    <n v="10"/>
    <n v="60"/>
  </r>
  <r>
    <s v="Kerala"/>
    <x v="2"/>
    <s v="Sony Ericsson Xperia Mini ST15i"/>
    <s v="Units"/>
    <n v="74"/>
    <n v="51"/>
    <n v="63"/>
    <n v="45"/>
    <n v="92"/>
  </r>
  <r>
    <s v="Kerala"/>
    <x v="2"/>
    <s v="Sony Ericsson Fengli txt pro CK15i"/>
    <s v="Units"/>
    <n v="40"/>
    <n v="19"/>
    <n v="77"/>
    <n v="94"/>
    <n v="56"/>
  </r>
  <r>
    <s v="Kerala"/>
    <x v="2"/>
    <s v="Sony Ericsson Xperia 32GB"/>
    <s v="Units"/>
    <n v="96"/>
    <n v="77"/>
    <n v="62"/>
    <n v="38"/>
    <n v="88"/>
  </r>
  <r>
    <s v="Kerala"/>
    <x v="3"/>
    <s v="HTC Sensation XE"/>
    <s v="Units"/>
    <n v="19"/>
    <n v="70"/>
    <n v="51"/>
    <n v="52"/>
    <n v="74"/>
  </r>
  <r>
    <s v="Kerala"/>
    <x v="3"/>
    <s v="HTC Rhyme (Sea Glass)"/>
    <s v="Units"/>
    <n v="94"/>
    <n v="66"/>
    <n v="93"/>
    <n v="25"/>
    <n v="75"/>
  </r>
  <r>
    <s v="Kerala"/>
    <x v="3"/>
    <s v="HTC Radar"/>
    <s v="Units"/>
    <n v="49"/>
    <n v="52"/>
    <n v="69"/>
    <n v="68"/>
    <n v="22"/>
  </r>
  <r>
    <s v="Kerala"/>
    <x v="3"/>
    <s v="HTC Explorer"/>
    <s v="Units"/>
    <n v="92"/>
    <n v="22"/>
    <n v="13"/>
    <n v="91"/>
    <n v="84"/>
  </r>
  <r>
    <s v="Kerala"/>
    <x v="3"/>
    <s v="HTC Evo 3D"/>
    <s v="Units"/>
    <n v="90"/>
    <n v="90"/>
    <n v="31"/>
    <n v="82"/>
    <n v="83"/>
  </r>
  <r>
    <s v="Kerala"/>
    <x v="3"/>
    <s v="HTC ChaCha"/>
    <s v="Units"/>
    <n v="31"/>
    <n v="21"/>
    <n v="19"/>
    <n v="59"/>
    <n v="91"/>
  </r>
  <r>
    <s v="Kerala"/>
    <x v="3"/>
    <s v="HTC Sensation"/>
    <s v="Units"/>
    <n v="43"/>
    <n v="24"/>
    <n v="34"/>
    <n v="83"/>
    <n v="52"/>
  </r>
  <r>
    <s v="Kerala"/>
    <x v="3"/>
    <s v="HTC Wildfire S"/>
    <s v="Units"/>
    <n v="17"/>
    <n v="98"/>
    <n v="36"/>
    <n v="12"/>
    <n v="23"/>
  </r>
  <r>
    <s v="Kerala"/>
    <x v="3"/>
    <s v="HTC Incredible S"/>
    <s v="Units"/>
    <n v="49"/>
    <n v="74"/>
    <n v="61"/>
    <n v="40"/>
    <n v="50"/>
  </r>
  <r>
    <s v="Kerala"/>
    <x v="3"/>
    <s v="HTC Desire S"/>
    <s v="Units"/>
    <n v="67"/>
    <n v="57"/>
    <n v="32"/>
    <n v="62"/>
    <n v="65"/>
  </r>
  <r>
    <s v="Kerala"/>
    <x v="4"/>
    <s v="LG Optimus Sol E730"/>
    <s v="Units"/>
    <n v="86"/>
    <n v="27"/>
    <n v="46"/>
    <n v="54"/>
    <n v="41"/>
  </r>
  <r>
    <s v="Kerala"/>
    <x v="4"/>
    <s v="LG Optimus Net Dual P698"/>
    <s v="Units"/>
    <n v="82"/>
    <n v="72"/>
    <n v="54"/>
    <n v="83"/>
    <n v="46"/>
  </r>
  <r>
    <s v="Kerala"/>
    <x v="4"/>
    <s v="LG Optimus 3D P920"/>
    <s v="Units"/>
    <n v="36"/>
    <n v="57"/>
    <n v="69"/>
    <n v="63"/>
    <n v="85"/>
  </r>
  <r>
    <s v="Kerala"/>
    <x v="4"/>
    <s v="LG Optimus NET P690"/>
    <s v="Units"/>
    <n v="82"/>
    <n v="73"/>
    <n v="99"/>
    <n v="60"/>
    <n v="11"/>
  </r>
  <r>
    <s v="Kerala"/>
    <x v="4"/>
    <s v="LG Optimus Pro C660"/>
    <s v="Units"/>
    <n v="27"/>
    <n v="88"/>
    <n v="24"/>
    <n v="71"/>
    <n v="90"/>
  </r>
  <r>
    <s v="Kerala"/>
    <x v="4"/>
    <s v="LG Optimus Black P970"/>
    <s v="Units"/>
    <n v="97"/>
    <n v="84"/>
    <n v="30"/>
    <n v="60"/>
    <n v="61"/>
  </r>
  <r>
    <s v="Kerala"/>
    <x v="4"/>
    <s v="LG Optimus 2X"/>
    <s v="Units"/>
    <n v="57"/>
    <n v="100"/>
    <n v="38"/>
    <n v="84"/>
    <n v="61"/>
  </r>
  <r>
    <s v="Kerala"/>
    <x v="4"/>
    <s v="LG Optimus One P500"/>
    <s v="Units"/>
    <n v="100"/>
    <n v="74"/>
    <n v="39"/>
    <n v="93"/>
    <n v="52"/>
  </r>
  <r>
    <s v="Kerala"/>
    <x v="4"/>
    <s v="LG Optimus 5X"/>
    <s v="Units"/>
    <n v="90"/>
    <n v="50"/>
    <n v="92"/>
    <n v="48"/>
    <n v="39"/>
  </r>
  <r>
    <s v="Kerala"/>
    <x v="4"/>
    <s v="LG Optimus 12X"/>
    <s v="Units"/>
    <n v="43"/>
    <n v="81"/>
    <n v="81"/>
    <n v="100"/>
    <n v="17"/>
  </r>
  <r>
    <s v="Kerala"/>
    <x v="5"/>
    <s v="Motorola Razr XT910"/>
    <s v="Units"/>
    <n v="40"/>
    <n v="82"/>
    <n v="40"/>
    <n v="16"/>
    <n v="87"/>
  </r>
  <r>
    <s v="Kerala"/>
    <x v="5"/>
    <s v="Motorola Defy+"/>
    <s v="Units"/>
    <n v="71"/>
    <n v="42"/>
    <n v="89"/>
    <n v="88"/>
    <n v="70"/>
  </r>
  <r>
    <s v="Kerala"/>
    <x v="5"/>
    <s v="Motorola Fire XT530"/>
    <s v="Units"/>
    <n v="97"/>
    <n v="66"/>
    <n v="49"/>
    <n v="34"/>
    <n v="57"/>
  </r>
  <r>
    <s v="Kerala"/>
    <x v="5"/>
    <s v="Motorola Brea EX119"/>
    <s v="Units"/>
    <n v="67"/>
    <n v="33"/>
    <n v="14"/>
    <n v="56"/>
    <n v="75"/>
  </r>
  <r>
    <s v="Kerala"/>
    <x v="5"/>
    <s v="Motorola Fire"/>
    <s v="Units"/>
    <n v="33"/>
    <n v="62"/>
    <n v="82"/>
    <n v="37"/>
    <n v="59"/>
  </r>
  <r>
    <s v="Kerala"/>
    <x v="5"/>
    <s v="Motorola Xoom 32GB (Wi-Fi) Tablet"/>
    <s v="Units"/>
    <n v="62"/>
    <n v="22"/>
    <n v="95"/>
    <n v="14"/>
    <n v="71"/>
  </r>
  <r>
    <s v="Kerala"/>
    <x v="5"/>
    <s v="Motorola Xoom 32GB (Wi-Fi+3G) Tablet"/>
    <s v="Units"/>
    <n v="48"/>
    <n v="48"/>
    <n v="86"/>
    <n v="25"/>
    <n v="37"/>
  </r>
  <r>
    <s v="Kerala"/>
    <x v="5"/>
    <s v="Motorola Milestone 4GB"/>
    <s v="Units"/>
    <n v="15"/>
    <n v="96"/>
    <n v="17"/>
    <n v="67"/>
    <n v="54"/>
  </r>
  <r>
    <s v="Kerala"/>
    <x v="5"/>
    <s v="Motorola Milestone 16GB"/>
    <s v="Units"/>
    <n v="76"/>
    <n v="46"/>
    <n v="20"/>
    <n v="17"/>
    <n v="32"/>
  </r>
  <r>
    <s v="Kerala"/>
    <x v="5"/>
    <s v="Motorola Milestone 32GB"/>
    <s v="Units"/>
    <n v="19"/>
    <n v="87"/>
    <n v="82"/>
    <n v="79"/>
    <n v="45"/>
  </r>
  <r>
    <s v="Kerala"/>
    <x v="6"/>
    <s v="Blackberry Bold 9790"/>
    <s v="Units"/>
    <n v="30"/>
    <n v="75"/>
    <n v="74"/>
    <n v="57"/>
    <n v="74"/>
  </r>
  <r>
    <s v="Kerala"/>
    <x v="6"/>
    <s v="Blackberry Curve 9380"/>
    <s v="Units"/>
    <n v="44"/>
    <n v="88"/>
    <n v="95"/>
    <n v="97"/>
    <n v="69"/>
  </r>
  <r>
    <s v="Kerala"/>
    <x v="6"/>
    <s v="Blackberry Torch 9860"/>
    <s v="Units"/>
    <n v="77"/>
    <n v="52"/>
    <n v="78"/>
    <n v="36"/>
    <n v="62"/>
  </r>
  <r>
    <s v="Kerala"/>
    <x v="6"/>
    <s v="Blackberry Curve 9360"/>
    <s v="Units"/>
    <n v="31"/>
    <n v="70"/>
    <n v="40"/>
    <n v="61"/>
    <n v="11"/>
  </r>
  <r>
    <s v="Kerala"/>
    <x v="6"/>
    <s v="Blackberry Torch 9810"/>
    <s v="Units"/>
    <n v="12"/>
    <n v="80"/>
    <n v="78"/>
    <n v="28"/>
    <n v="43"/>
  </r>
  <r>
    <s v="Kerala"/>
    <x v="6"/>
    <s v="Blackberry Bold 4 9900"/>
    <s v="Units"/>
    <n v="39"/>
    <n v="49"/>
    <n v="96"/>
    <n v="73"/>
    <n v="29"/>
  </r>
  <r>
    <s v="Kerala"/>
    <x v="6"/>
    <s v="Blackberry Playbook 64GB Wi-Fi Tablet"/>
    <s v="Units"/>
    <n v="65"/>
    <n v="91"/>
    <n v="52"/>
    <n v="19"/>
    <n v="71"/>
  </r>
  <r>
    <s v="Kerala"/>
    <x v="6"/>
    <s v="Blackberry Playbook 32GB Wi-Fi Tablet"/>
    <s v="Units"/>
    <n v="92"/>
    <n v="15"/>
    <n v="86"/>
    <n v="55"/>
    <n v="48"/>
  </r>
  <r>
    <s v="Kerala"/>
    <x v="6"/>
    <s v="Blackberry Playbook 16GB Wi-Fi Tablet"/>
    <s v="Units"/>
    <n v="72"/>
    <n v="96"/>
    <n v="32"/>
    <n v="77"/>
    <n v="50"/>
  </r>
  <r>
    <s v="Kerala"/>
    <x v="6"/>
    <s v="Blackberry Bold 9780"/>
    <s v="Units"/>
    <n v="11"/>
    <n v="55"/>
    <n v="37"/>
    <n v="12"/>
    <n v="23"/>
  </r>
  <r>
    <s v="Kerala"/>
    <x v="7"/>
    <s v="Apple iPhone 4S 64GB"/>
    <s v="Units"/>
    <n v="83"/>
    <n v="35"/>
    <n v="23"/>
    <n v="89"/>
    <n v="77"/>
  </r>
  <r>
    <s v="Kerala"/>
    <x v="7"/>
    <s v="Apple iPhone 4S 32GB"/>
    <s v="Units"/>
    <n v="37"/>
    <n v="35"/>
    <n v="69"/>
    <n v="82"/>
    <n v="67"/>
  </r>
  <r>
    <s v="Kerala"/>
    <x v="7"/>
    <s v="Apple iPhone 4S 16GB"/>
    <s v="Units"/>
    <n v="32"/>
    <n v="54"/>
    <n v="59"/>
    <n v="36"/>
    <n v="51"/>
  </r>
  <r>
    <s v="Kerala"/>
    <x v="7"/>
    <s v="Apple iPhone 4 8GB"/>
    <s v="Units"/>
    <n v="85"/>
    <n v="40"/>
    <n v="17"/>
    <n v="57"/>
    <n v="55"/>
  </r>
  <r>
    <s v="Kerala"/>
    <x v="7"/>
    <s v="Apple iPad 2 16GB (Wi-Fi) Tablet"/>
    <s v="Units"/>
    <n v="35"/>
    <n v="95"/>
    <n v="96"/>
    <n v="30"/>
    <n v="42"/>
  </r>
  <r>
    <s v="Kerala"/>
    <x v="7"/>
    <s v="Apple iPad 2 32GB (Wi-Fi) Tablet"/>
    <s v="Units"/>
    <n v="49"/>
    <n v="81"/>
    <n v="24"/>
    <n v="92"/>
    <n v="47"/>
  </r>
  <r>
    <s v="Kerala"/>
    <x v="7"/>
    <s v="Apple iPad 2 64GB (Wi-Fi) Tablet"/>
    <s v="Units"/>
    <n v="31"/>
    <n v="21"/>
    <n v="14"/>
    <n v="47"/>
    <n v="39"/>
  </r>
  <r>
    <s v="Kerala"/>
    <x v="7"/>
    <s v="Apple iPad 2 16GB (Wi-Fi+3G) Tablet"/>
    <s v="Units"/>
    <n v="27"/>
    <n v="42"/>
    <n v="29"/>
    <n v="53"/>
    <n v="78"/>
  </r>
  <r>
    <s v="Kerala"/>
    <x v="7"/>
    <s v="Apple iPad 2 32GB (Wi-Fi+3G) Tablet"/>
    <s v="Units"/>
    <n v="47"/>
    <n v="82"/>
    <n v="25"/>
    <n v="92"/>
    <n v="61"/>
  </r>
  <r>
    <s v="Kerala"/>
    <x v="7"/>
    <s v="Apple iPad 2 64GB (Wi-Fi+3G) Tablet"/>
    <s v="Units"/>
    <n v="40"/>
    <n v="65"/>
    <n v="47"/>
    <n v="16"/>
    <n v="41"/>
  </r>
  <r>
    <s v="Maharashtra"/>
    <x v="0"/>
    <s v="Nokia Lumia 800"/>
    <s v="Units"/>
    <n v="91"/>
    <n v="71"/>
    <n v="98"/>
    <n v="55"/>
    <n v="34"/>
  </r>
  <r>
    <s v="Maharashtra"/>
    <x v="0"/>
    <s v="Nokia Lumia 710"/>
    <s v="Units"/>
    <n v="19"/>
    <n v="31"/>
    <n v="65"/>
    <n v="18"/>
    <n v="59"/>
  </r>
  <r>
    <s v="Maharashtra"/>
    <x v="0"/>
    <s v="Nokia 603"/>
    <s v="Units"/>
    <n v="60"/>
    <n v="76"/>
    <n v="52"/>
    <n v="51"/>
    <n v="96"/>
  </r>
  <r>
    <s v="Maharashtra"/>
    <x v="0"/>
    <s v="Nokia 701"/>
    <s v="Units"/>
    <n v="87"/>
    <n v="38"/>
    <n v="13"/>
    <n v="91"/>
    <n v="73"/>
  </r>
  <r>
    <s v="Maharashtra"/>
    <x v="0"/>
    <s v="Nokia 500 Fate"/>
    <s v="Units"/>
    <n v="17"/>
    <n v="16"/>
    <n v="89"/>
    <n v="85"/>
    <n v="21"/>
  </r>
  <r>
    <s v="Maharashtra"/>
    <x v="0"/>
    <s v="Nokia E6"/>
    <s v="Units"/>
    <n v="48"/>
    <n v="60"/>
    <n v="72"/>
    <n v="34"/>
    <n v="57"/>
  </r>
  <r>
    <s v="Maharashtra"/>
    <x v="0"/>
    <s v="Nokia X7"/>
    <s v="Units"/>
    <n v="50"/>
    <n v="43"/>
    <n v="91"/>
    <n v="15"/>
    <n v="35"/>
  </r>
  <r>
    <s v="Maharashtra"/>
    <x v="0"/>
    <s v="Nokia E7"/>
    <s v="Units"/>
    <n v="37"/>
    <n v="11"/>
    <n v="34"/>
    <n v="86"/>
    <n v="10"/>
  </r>
  <r>
    <s v="Maharashtra"/>
    <x v="0"/>
    <s v="Nokia C3-01"/>
    <s v="Units"/>
    <n v="86"/>
    <n v="21"/>
    <n v="43"/>
    <n v="89"/>
    <n v="100"/>
  </r>
  <r>
    <s v="Maharashtra"/>
    <x v="0"/>
    <s v="Nokia E5"/>
    <s v="Units"/>
    <n v="65"/>
    <n v="23"/>
    <n v="71"/>
    <n v="51"/>
    <n v="31"/>
  </r>
  <r>
    <s v="Maharashtra"/>
    <x v="1"/>
    <s v="Samsung Omnia W I8350"/>
    <s v="Units"/>
    <n v="11"/>
    <n v="42"/>
    <n v="25"/>
    <n v="74"/>
    <n v="19"/>
  </r>
  <r>
    <s v="Maharashtra"/>
    <x v="1"/>
    <s v="Samsung Galaxy Tab 620"/>
    <s v="Units"/>
    <n v="94"/>
    <n v="40"/>
    <n v="47"/>
    <n v="70"/>
    <n v="33"/>
  </r>
  <r>
    <s v="Maharashtra"/>
    <x v="1"/>
    <s v="Samsung Wave III S8600"/>
    <s v="Units"/>
    <n v="32"/>
    <n v="27"/>
    <n v="27"/>
    <n v="21"/>
    <n v="28"/>
  </r>
  <r>
    <s v="Maharashtra"/>
    <x v="1"/>
    <s v="Samsung Wave Y S5380"/>
    <s v="Units"/>
    <n v="26"/>
    <n v="84"/>
    <n v="18"/>
    <n v="71"/>
    <n v="77"/>
  </r>
  <r>
    <s v="Maharashtra"/>
    <x v="1"/>
    <s v="Samsung Galaxy Tab 730"/>
    <s v="Units"/>
    <n v="32"/>
    <n v="17"/>
    <n v="50"/>
    <n v="63"/>
    <n v="84"/>
  </r>
  <r>
    <s v="Maharashtra"/>
    <x v="1"/>
    <s v="Samsung Galaxy Note GT-N7000"/>
    <s v="Units"/>
    <n v="71"/>
    <n v="49"/>
    <n v="88"/>
    <n v="83"/>
    <n v="99"/>
  </r>
  <r>
    <s v="Maharashtra"/>
    <x v="1"/>
    <s v="Samsung Galaxy R I9103"/>
    <s v="Units"/>
    <n v="50"/>
    <n v="92"/>
    <n v="23"/>
    <n v="100"/>
    <n v="26"/>
  </r>
  <r>
    <s v="Maharashtra"/>
    <x v="1"/>
    <s v="Samsung Galaxy S Plus I9001"/>
    <s v="Units"/>
    <n v="18"/>
    <n v="71"/>
    <n v="40"/>
    <n v="87"/>
    <n v="75"/>
  </r>
  <r>
    <s v="Maharashtra"/>
    <x v="1"/>
    <s v="Samsung Galaxy Y S5360"/>
    <s v="Units"/>
    <n v="55"/>
    <n v="52"/>
    <n v="80"/>
    <n v="32"/>
    <n v="46"/>
  </r>
  <r>
    <s v="Maharashtra"/>
    <x v="1"/>
    <s v="Samsung Galaxy S II"/>
    <s v="Units"/>
    <n v="43"/>
    <n v="27"/>
    <n v="48"/>
    <n v="20"/>
    <n v="45"/>
  </r>
  <r>
    <s v="Maharashtra"/>
    <x v="2"/>
    <s v="Sony Ericsson Live WT19i"/>
    <s v="Units"/>
    <n v="77"/>
    <n v="36"/>
    <n v="18"/>
    <n v="37"/>
    <n v="30"/>
  </r>
  <r>
    <s v="Maharashtra"/>
    <x v="2"/>
    <s v="Sony Ericsson Xperia Arc S"/>
    <s v="Units"/>
    <n v="92"/>
    <n v="73"/>
    <n v="68"/>
    <n v="26"/>
    <n v="65"/>
  </r>
  <r>
    <s v="Maharashtra"/>
    <x v="2"/>
    <s v="Sony Ericsson Xperia Pro"/>
    <s v="Units"/>
    <n v="14"/>
    <n v="61"/>
    <n v="44"/>
    <n v="10"/>
    <n v="97"/>
  </r>
  <r>
    <s v="Maharashtra"/>
    <x v="2"/>
    <s v="Sony Ericsson Xperia Active ST17i"/>
    <s v="Units"/>
    <n v="25"/>
    <n v="56"/>
    <n v="79"/>
    <n v="32"/>
    <n v="19"/>
  </r>
  <r>
    <s v="Maharashtra"/>
    <x v="2"/>
    <s v="Sony Ericsson Xperia Neo V"/>
    <s v="Units"/>
    <n v="34"/>
    <n v="87"/>
    <n v="88"/>
    <n v="40"/>
    <n v="20"/>
  </r>
  <r>
    <s v="Maharashtra"/>
    <x v="2"/>
    <s v="Sony Ericsson Xperia Ray ST18i"/>
    <s v="Units"/>
    <n v="17"/>
    <n v="20"/>
    <n v="89"/>
    <n v="48"/>
    <n v="98"/>
  </r>
  <r>
    <s v="Maharashtra"/>
    <x v="2"/>
    <s v="Sony Ericsson Xperia Mini Pro SK17i"/>
    <s v="Units"/>
    <n v="72"/>
    <n v="80"/>
    <n v="55"/>
    <n v="100"/>
    <n v="32"/>
  </r>
  <r>
    <s v="Maharashtra"/>
    <x v="2"/>
    <s v="Sony Ericsson Xperia Mini ST15i"/>
    <s v="Units"/>
    <n v="74"/>
    <n v="81"/>
    <n v="84"/>
    <n v="52"/>
    <n v="81"/>
  </r>
  <r>
    <s v="Maharashtra"/>
    <x v="2"/>
    <s v="Sony Ericsson Fengli txt pro CK15i"/>
    <s v="Units"/>
    <n v="56"/>
    <n v="87"/>
    <n v="94"/>
    <n v="46"/>
    <n v="38"/>
  </r>
  <r>
    <s v="Maharashtra"/>
    <x v="2"/>
    <s v="Sony Ericsson Xperia 32GB"/>
    <s v="Units"/>
    <n v="65"/>
    <n v="92"/>
    <n v="10"/>
    <n v="30"/>
    <n v="29"/>
  </r>
  <r>
    <s v="Maharashtra"/>
    <x v="3"/>
    <s v="HTC Sensation XE"/>
    <s v="Units"/>
    <n v="46"/>
    <n v="67"/>
    <n v="93"/>
    <n v="73"/>
    <n v="97"/>
  </r>
  <r>
    <s v="Maharashtra"/>
    <x v="3"/>
    <s v="HTC Rhyme (Sea Glass)"/>
    <s v="Units"/>
    <n v="36"/>
    <n v="36"/>
    <n v="76"/>
    <n v="94"/>
    <n v="81"/>
  </r>
  <r>
    <s v="Maharashtra"/>
    <x v="3"/>
    <s v="HTC Radar"/>
    <s v="Units"/>
    <n v="84"/>
    <n v="89"/>
    <n v="85"/>
    <n v="54"/>
    <n v="83"/>
  </r>
  <r>
    <s v="Maharashtra"/>
    <x v="3"/>
    <s v="HTC Explorer"/>
    <s v="Units"/>
    <n v="12"/>
    <n v="16"/>
    <n v="16"/>
    <n v="45"/>
    <n v="20"/>
  </r>
  <r>
    <s v="Maharashtra"/>
    <x v="3"/>
    <s v="HTC Evo 3D"/>
    <s v="Units"/>
    <n v="34"/>
    <n v="42"/>
    <n v="100"/>
    <n v="48"/>
    <n v="37"/>
  </r>
  <r>
    <s v="Maharashtra"/>
    <x v="3"/>
    <s v="HTC ChaCha"/>
    <s v="Units"/>
    <n v="90"/>
    <n v="24"/>
    <n v="19"/>
    <n v="26"/>
    <n v="69"/>
  </r>
  <r>
    <s v="Maharashtra"/>
    <x v="3"/>
    <s v="HTC Sensation"/>
    <s v="Units"/>
    <n v="40"/>
    <n v="23"/>
    <n v="41"/>
    <n v="11"/>
    <n v="42"/>
  </r>
  <r>
    <s v="Maharashtra"/>
    <x v="3"/>
    <s v="HTC Wildfire S"/>
    <s v="Units"/>
    <n v="78"/>
    <n v="50"/>
    <n v="30"/>
    <n v="70"/>
    <n v="86"/>
  </r>
  <r>
    <s v="Maharashtra"/>
    <x v="3"/>
    <s v="HTC Incredible S"/>
    <s v="Units"/>
    <n v="68"/>
    <n v="10"/>
    <n v="73"/>
    <n v="82"/>
    <n v="31"/>
  </r>
  <r>
    <s v="Maharashtra"/>
    <x v="3"/>
    <s v="HTC Desire S"/>
    <s v="Units"/>
    <n v="36"/>
    <n v="23"/>
    <n v="85"/>
    <n v="77"/>
    <n v="77"/>
  </r>
  <r>
    <s v="Maharashtra"/>
    <x v="4"/>
    <s v="LG Optimus Sol E730"/>
    <s v="Units"/>
    <n v="53"/>
    <n v="72"/>
    <n v="40"/>
    <n v="13"/>
    <n v="23"/>
  </r>
  <r>
    <s v="Maharashtra"/>
    <x v="4"/>
    <s v="LG Optimus Net Dual P698"/>
    <s v="Units"/>
    <n v="49"/>
    <n v="97"/>
    <n v="63"/>
    <n v="21"/>
    <n v="21"/>
  </r>
  <r>
    <s v="Maharashtra"/>
    <x v="4"/>
    <s v="LG Optimus 3D P920"/>
    <s v="Units"/>
    <n v="89"/>
    <n v="90"/>
    <n v="18"/>
    <n v="31"/>
    <n v="80"/>
  </r>
  <r>
    <s v="Maharashtra"/>
    <x v="4"/>
    <s v="LG Optimus NET P690"/>
    <s v="Units"/>
    <n v="93"/>
    <n v="34"/>
    <n v="95"/>
    <n v="76"/>
    <n v="78"/>
  </r>
  <r>
    <s v="Maharashtra"/>
    <x v="4"/>
    <s v="LG Optimus Pro C660"/>
    <s v="Units"/>
    <n v="97"/>
    <n v="46"/>
    <n v="11"/>
    <n v="26"/>
    <n v="18"/>
  </r>
  <r>
    <s v="Maharashtra"/>
    <x v="4"/>
    <s v="LG Optimus Black P970"/>
    <s v="Units"/>
    <n v="56"/>
    <n v="75"/>
    <n v="37"/>
    <n v="72"/>
    <n v="39"/>
  </r>
  <r>
    <s v="Maharashtra"/>
    <x v="4"/>
    <s v="LG Optimus 2X"/>
    <s v="Units"/>
    <n v="79"/>
    <n v="43"/>
    <n v="88"/>
    <n v="22"/>
    <n v="81"/>
  </r>
  <r>
    <s v="Maharashtra"/>
    <x v="4"/>
    <s v="LG Optimus One P500"/>
    <s v="Units"/>
    <n v="89"/>
    <n v="70"/>
    <n v="27"/>
    <n v="77"/>
    <n v="58"/>
  </r>
  <r>
    <s v="Maharashtra"/>
    <x v="4"/>
    <s v="LG Optimus 5X"/>
    <s v="Units"/>
    <n v="36"/>
    <n v="85"/>
    <n v="91"/>
    <n v="59"/>
    <n v="23"/>
  </r>
  <r>
    <s v="Maharashtra"/>
    <x v="4"/>
    <s v="LG Optimus 12X"/>
    <s v="Units"/>
    <n v="15"/>
    <n v="41"/>
    <n v="11"/>
    <n v="41"/>
    <n v="72"/>
  </r>
  <r>
    <s v="Maharashtra"/>
    <x v="5"/>
    <s v="Motorola Razr XT910"/>
    <s v="Units"/>
    <n v="24"/>
    <n v="50"/>
    <n v="78"/>
    <n v="71"/>
    <n v="72"/>
  </r>
  <r>
    <s v="Maharashtra"/>
    <x v="5"/>
    <s v="Motorola Defy+"/>
    <s v="Units"/>
    <n v="65"/>
    <n v="65"/>
    <n v="39"/>
    <n v="46"/>
    <n v="39"/>
  </r>
  <r>
    <s v="Maharashtra"/>
    <x v="5"/>
    <s v="Motorola Fire XT530"/>
    <s v="Units"/>
    <n v="22"/>
    <n v="51"/>
    <n v="88"/>
    <n v="30"/>
    <n v="82"/>
  </r>
  <r>
    <s v="Maharashtra"/>
    <x v="5"/>
    <s v="Motorola Brea EX119"/>
    <s v="Units"/>
    <n v="83"/>
    <n v="60"/>
    <n v="51"/>
    <n v="49"/>
    <n v="96"/>
  </r>
  <r>
    <s v="Maharashtra"/>
    <x v="5"/>
    <s v="Motorola Fire"/>
    <s v="Units"/>
    <n v="37"/>
    <n v="10"/>
    <n v="65"/>
    <n v="97"/>
    <n v="36"/>
  </r>
  <r>
    <s v="Maharashtra"/>
    <x v="5"/>
    <s v="Motorola Xoom 32GB (Wi-Fi) Tablet"/>
    <s v="Units"/>
    <n v="71"/>
    <n v="16"/>
    <n v="28"/>
    <n v="21"/>
    <n v="69"/>
  </r>
  <r>
    <s v="Maharashtra"/>
    <x v="5"/>
    <s v="Motorola Xoom 32GB (Wi-Fi+3G) Tablet"/>
    <s v="Units"/>
    <n v="60"/>
    <n v="97"/>
    <n v="21"/>
    <n v="41"/>
    <n v="10"/>
  </r>
  <r>
    <s v="Maharashtra"/>
    <x v="5"/>
    <s v="Motorola Milestone 4GB"/>
    <s v="Units"/>
    <n v="26"/>
    <n v="10"/>
    <n v="18"/>
    <n v="75"/>
    <n v="72"/>
  </r>
  <r>
    <s v="Maharashtra"/>
    <x v="5"/>
    <s v="Motorola Milestone 16GB"/>
    <s v="Units"/>
    <n v="81"/>
    <n v="95"/>
    <n v="31"/>
    <n v="36"/>
    <n v="58"/>
  </r>
  <r>
    <s v="Maharashtra"/>
    <x v="5"/>
    <s v="Motorola Milestone 32GB"/>
    <s v="Units"/>
    <n v="26"/>
    <n v="71"/>
    <n v="58"/>
    <n v="23"/>
    <n v="13"/>
  </r>
  <r>
    <s v="Maharashtra"/>
    <x v="6"/>
    <s v="Blackberry Bold 9790"/>
    <s v="Units"/>
    <n v="61"/>
    <n v="22"/>
    <n v="84"/>
    <n v="60"/>
    <n v="10"/>
  </r>
  <r>
    <s v="Maharashtra"/>
    <x v="6"/>
    <s v="Blackberry Curve 9380"/>
    <s v="Units"/>
    <n v="96"/>
    <n v="56"/>
    <n v="96"/>
    <n v="32"/>
    <n v="19"/>
  </r>
  <r>
    <s v="Maharashtra"/>
    <x v="6"/>
    <s v="Blackberry Torch 9860"/>
    <s v="Units"/>
    <n v="45"/>
    <n v="56"/>
    <n v="20"/>
    <n v="12"/>
    <n v="98"/>
  </r>
  <r>
    <s v="Maharashtra"/>
    <x v="6"/>
    <s v="Blackberry Curve 9360"/>
    <s v="Units"/>
    <n v="14"/>
    <n v="45"/>
    <n v="66"/>
    <n v="86"/>
    <n v="91"/>
  </r>
  <r>
    <s v="Maharashtra"/>
    <x v="6"/>
    <s v="Blackberry Torch 9810"/>
    <s v="Units"/>
    <n v="93"/>
    <n v="74"/>
    <n v="99"/>
    <n v="20"/>
    <n v="86"/>
  </r>
  <r>
    <s v="Maharashtra"/>
    <x v="6"/>
    <s v="Blackberry Bold 4 9900"/>
    <s v="Units"/>
    <n v="13"/>
    <n v="73"/>
    <n v="18"/>
    <n v="12"/>
    <n v="90"/>
  </r>
  <r>
    <s v="Maharashtra"/>
    <x v="6"/>
    <s v="Blackberry Playbook 64GB Wi-Fi Tablet"/>
    <s v="Units"/>
    <n v="12"/>
    <n v="22"/>
    <n v="15"/>
    <n v="72"/>
    <n v="55"/>
  </r>
  <r>
    <s v="Maharashtra"/>
    <x v="6"/>
    <s v="Blackberry Playbook 32GB Wi-Fi Tablet"/>
    <s v="Units"/>
    <n v="17"/>
    <n v="17"/>
    <n v="47"/>
    <n v="54"/>
    <n v="78"/>
  </r>
  <r>
    <s v="Maharashtra"/>
    <x v="6"/>
    <s v="Blackberry Playbook 16GB Wi-Fi Tablet"/>
    <s v="Units"/>
    <n v="81"/>
    <n v="34"/>
    <n v="20"/>
    <n v="27"/>
    <n v="64"/>
  </r>
  <r>
    <s v="Maharashtra"/>
    <x v="6"/>
    <s v="Blackberry Bold 9780"/>
    <s v="Units"/>
    <n v="88"/>
    <n v="91"/>
    <n v="94"/>
    <n v="66"/>
    <n v="97"/>
  </r>
  <r>
    <s v="Maharashtra"/>
    <x v="7"/>
    <s v="Apple iPhone 4S 64GB"/>
    <s v="Units"/>
    <n v="21"/>
    <n v="21"/>
    <n v="39"/>
    <n v="17"/>
    <n v="77"/>
  </r>
  <r>
    <s v="Maharashtra"/>
    <x v="7"/>
    <s v="Apple iPhone 4S 32GB"/>
    <s v="Units"/>
    <n v="78"/>
    <n v="83"/>
    <n v="47"/>
    <n v="62"/>
    <n v="49"/>
  </r>
  <r>
    <s v="Maharashtra"/>
    <x v="7"/>
    <s v="Apple iPhone 4S 16GB"/>
    <s v="Units"/>
    <n v="21"/>
    <n v="34"/>
    <n v="56"/>
    <n v="79"/>
    <n v="24"/>
  </r>
  <r>
    <s v="Maharashtra"/>
    <x v="7"/>
    <s v="Apple iPhone 4 8GB"/>
    <s v="Units"/>
    <n v="64"/>
    <n v="41"/>
    <n v="35"/>
    <n v="24"/>
    <n v="42"/>
  </r>
  <r>
    <s v="Maharashtra"/>
    <x v="7"/>
    <s v="Apple iPad 2 16GB (Wi-Fi) Tablet"/>
    <s v="Units"/>
    <n v="50"/>
    <n v="50"/>
    <n v="96"/>
    <n v="94"/>
    <n v="28"/>
  </r>
  <r>
    <s v="Maharashtra"/>
    <x v="7"/>
    <s v="Apple iPad 2 32GB (Wi-Fi) Tablet"/>
    <s v="Units"/>
    <n v="71"/>
    <n v="88"/>
    <n v="41"/>
    <n v="32"/>
    <n v="54"/>
  </r>
  <r>
    <s v="Maharashtra"/>
    <x v="7"/>
    <s v="Apple iPad 2 64GB (Wi-Fi) Tablet"/>
    <s v="Units"/>
    <n v="75"/>
    <n v="25"/>
    <n v="26"/>
    <n v="10"/>
    <n v="50"/>
  </r>
  <r>
    <s v="Maharashtra"/>
    <x v="7"/>
    <s v="Apple iPad 2 16GB (Wi-Fi+3G) Tablet"/>
    <s v="Units"/>
    <n v="95"/>
    <n v="77"/>
    <n v="16"/>
    <n v="27"/>
    <n v="29"/>
  </r>
  <r>
    <s v="Maharashtra"/>
    <x v="7"/>
    <s v="Apple iPad 2 32GB (Wi-Fi+3G) Tablet"/>
    <s v="Units"/>
    <n v="41"/>
    <n v="62"/>
    <n v="13"/>
    <n v="72"/>
    <n v="20"/>
  </r>
  <r>
    <s v="Maharashtra"/>
    <x v="7"/>
    <s v="Apple iPad 2 64GB (Wi-Fi+3G) Tablet"/>
    <s v="Units"/>
    <n v="61"/>
    <n v="19"/>
    <n v="63"/>
    <n v="96"/>
    <n v="19"/>
  </r>
  <r>
    <s v="Tamil Nadu"/>
    <x v="0"/>
    <s v="Nokia Lumia 800"/>
    <s v="Units"/>
    <n v="83"/>
    <n v="36"/>
    <n v="100"/>
    <n v="55"/>
    <n v="55"/>
  </r>
  <r>
    <s v="Tamil Nadu"/>
    <x v="0"/>
    <s v="Nokia Lumia 710"/>
    <s v="Units"/>
    <n v="77"/>
    <n v="94"/>
    <n v="98"/>
    <n v="49"/>
    <n v="52"/>
  </r>
  <r>
    <s v="Tamil Nadu"/>
    <x v="0"/>
    <s v="Nokia 603"/>
    <s v="Units"/>
    <n v="64"/>
    <n v="24"/>
    <n v="88"/>
    <n v="26"/>
    <n v="85"/>
  </r>
  <r>
    <s v="Tamil Nadu"/>
    <x v="0"/>
    <s v="Nokia 701"/>
    <s v="Units"/>
    <n v="89"/>
    <n v="30"/>
    <n v="76"/>
    <n v="59"/>
    <n v="97"/>
  </r>
  <r>
    <s v="Tamil Nadu"/>
    <x v="0"/>
    <s v="Nokia 500 Fate"/>
    <s v="Units"/>
    <n v="61"/>
    <n v="30"/>
    <n v="52"/>
    <n v="18"/>
    <n v="97"/>
  </r>
  <r>
    <s v="Tamil Nadu"/>
    <x v="0"/>
    <s v="Nokia E6"/>
    <s v="Units"/>
    <n v="79"/>
    <n v="15"/>
    <n v="56"/>
    <n v="84"/>
    <n v="45"/>
  </r>
  <r>
    <s v="Tamil Nadu"/>
    <x v="0"/>
    <s v="Nokia X7"/>
    <s v="Units"/>
    <n v="73"/>
    <n v="42"/>
    <n v="92"/>
    <n v="70"/>
    <n v="98"/>
  </r>
  <r>
    <s v="Tamil Nadu"/>
    <x v="0"/>
    <s v="Nokia E7"/>
    <s v="Units"/>
    <n v="36"/>
    <n v="56"/>
    <n v="24"/>
    <n v="98"/>
    <n v="22"/>
  </r>
  <r>
    <s v="Tamil Nadu"/>
    <x v="0"/>
    <s v="Nokia C3-01"/>
    <s v="Units"/>
    <n v="41"/>
    <n v="24"/>
    <n v="76"/>
    <n v="38"/>
    <n v="42"/>
  </r>
  <r>
    <s v="Tamil Nadu"/>
    <x v="0"/>
    <s v="Nokia E5"/>
    <s v="Units"/>
    <n v="20"/>
    <n v="59"/>
    <n v="44"/>
    <n v="30"/>
    <n v="14"/>
  </r>
  <r>
    <s v="Tamil Nadu"/>
    <x v="1"/>
    <s v="Samsung Omnia W I8350"/>
    <s v="Units"/>
    <n v="84"/>
    <n v="47"/>
    <n v="17"/>
    <n v="37"/>
    <n v="60"/>
  </r>
  <r>
    <s v="Tamil Nadu"/>
    <x v="1"/>
    <s v="Samsung Galaxy Tab 620"/>
    <s v="Units"/>
    <n v="55"/>
    <n v="79"/>
    <n v="65"/>
    <n v="48"/>
    <n v="41"/>
  </r>
  <r>
    <s v="Tamil Nadu"/>
    <x v="1"/>
    <s v="Samsung Wave III S8600"/>
    <s v="Units"/>
    <n v="86"/>
    <n v="22"/>
    <n v="77"/>
    <n v="13"/>
    <n v="90"/>
  </r>
  <r>
    <s v="Tamil Nadu"/>
    <x v="1"/>
    <s v="Samsung Wave Y S5380"/>
    <s v="Units"/>
    <n v="64"/>
    <n v="85"/>
    <n v="52"/>
    <n v="73"/>
    <n v="49"/>
  </r>
  <r>
    <s v="Tamil Nadu"/>
    <x v="1"/>
    <s v="Samsung Galaxy Tab 730"/>
    <s v="Units"/>
    <n v="80"/>
    <n v="75"/>
    <n v="67"/>
    <n v="66"/>
    <n v="72"/>
  </r>
  <r>
    <s v="Tamil Nadu"/>
    <x v="1"/>
    <s v="Samsung Galaxy Note GT-N7000"/>
    <s v="Units"/>
    <n v="86"/>
    <n v="100"/>
    <n v="99"/>
    <n v="81"/>
    <n v="78"/>
  </r>
  <r>
    <s v="Tamil Nadu"/>
    <x v="1"/>
    <s v="Samsung Galaxy R I9103"/>
    <s v="Units"/>
    <n v="65"/>
    <n v="49"/>
    <n v="16"/>
    <n v="29"/>
    <n v="11"/>
  </r>
  <r>
    <s v="Tamil Nadu"/>
    <x v="1"/>
    <s v="Samsung Galaxy S Plus I9001"/>
    <s v="Units"/>
    <n v="57"/>
    <n v="45"/>
    <n v="20"/>
    <n v="20"/>
    <n v="84"/>
  </r>
  <r>
    <s v="Tamil Nadu"/>
    <x v="1"/>
    <s v="Samsung Galaxy Y S5360"/>
    <s v="Units"/>
    <n v="24"/>
    <n v="36"/>
    <n v="34"/>
    <n v="48"/>
    <n v="44"/>
  </r>
  <r>
    <s v="Tamil Nadu"/>
    <x v="1"/>
    <s v="Samsung Galaxy S II"/>
    <s v="Units"/>
    <n v="55"/>
    <n v="34"/>
    <n v="32"/>
    <n v="83"/>
    <n v="92"/>
  </r>
  <r>
    <s v="Tamil Nadu"/>
    <x v="2"/>
    <s v="Sony Ericsson Live WT19i"/>
    <s v="Units"/>
    <n v="73"/>
    <n v="76"/>
    <n v="98"/>
    <n v="18"/>
    <n v="13"/>
  </r>
  <r>
    <s v="Tamil Nadu"/>
    <x v="2"/>
    <s v="Sony Ericsson Xperia Arc S"/>
    <s v="Units"/>
    <n v="91"/>
    <n v="72"/>
    <n v="63"/>
    <n v="18"/>
    <n v="42"/>
  </r>
  <r>
    <s v="Tamil Nadu"/>
    <x v="2"/>
    <s v="Sony Ericsson Xperia Pro"/>
    <s v="Units"/>
    <n v="48"/>
    <n v="16"/>
    <n v="14"/>
    <n v="31"/>
    <n v="32"/>
  </r>
  <r>
    <s v="Tamil Nadu"/>
    <x v="2"/>
    <s v="Sony Ericsson Xperia Active ST17i"/>
    <s v="Units"/>
    <n v="13"/>
    <n v="36"/>
    <n v="24"/>
    <n v="79"/>
    <n v="44"/>
  </r>
  <r>
    <s v="Tamil Nadu"/>
    <x v="2"/>
    <s v="Sony Ericsson Xperia Neo V"/>
    <s v="Units"/>
    <n v="87"/>
    <n v="20"/>
    <n v="85"/>
    <n v="73"/>
    <n v="74"/>
  </r>
  <r>
    <s v="Tamil Nadu"/>
    <x v="2"/>
    <s v="Sony Ericsson Xperia Ray ST18i"/>
    <s v="Units"/>
    <n v="77"/>
    <n v="91"/>
    <n v="38"/>
    <n v="98"/>
    <n v="87"/>
  </r>
  <r>
    <s v="Tamil Nadu"/>
    <x v="2"/>
    <s v="Sony Ericsson Xperia Mini Pro SK17i"/>
    <s v="Units"/>
    <n v="41"/>
    <n v="96"/>
    <n v="76"/>
    <n v="64"/>
    <n v="82"/>
  </r>
  <r>
    <s v="Tamil Nadu"/>
    <x v="2"/>
    <s v="Sony Ericsson Xperia Mini ST15i"/>
    <s v="Units"/>
    <n v="79"/>
    <n v="83"/>
    <n v="30"/>
    <n v="32"/>
    <n v="63"/>
  </r>
  <r>
    <s v="Tamil Nadu"/>
    <x v="2"/>
    <s v="Sony Ericsson Fengli txt pro CK15i"/>
    <s v="Units"/>
    <n v="81"/>
    <n v="63"/>
    <n v="60"/>
    <n v="89"/>
    <n v="63"/>
  </r>
  <r>
    <s v="Tamil Nadu"/>
    <x v="2"/>
    <s v="Sony Ericsson Xperia 32GB"/>
    <s v="Units"/>
    <n v="24"/>
    <n v="30"/>
    <n v="10"/>
    <n v="93"/>
    <n v="19"/>
  </r>
  <r>
    <s v="Tamil Nadu"/>
    <x v="3"/>
    <s v="HTC Sensation XE"/>
    <s v="Units"/>
    <n v="70"/>
    <n v="20"/>
    <n v="50"/>
    <n v="21"/>
    <n v="29"/>
  </r>
  <r>
    <s v="Tamil Nadu"/>
    <x v="3"/>
    <s v="HTC Rhyme (Sea Glass)"/>
    <s v="Units"/>
    <n v="13"/>
    <n v="79"/>
    <n v="43"/>
    <n v="72"/>
    <n v="56"/>
  </r>
  <r>
    <s v="Tamil Nadu"/>
    <x v="3"/>
    <s v="HTC Radar"/>
    <s v="Units"/>
    <n v="58"/>
    <n v="77"/>
    <n v="91"/>
    <n v="24"/>
    <n v="25"/>
  </r>
  <r>
    <s v="Tamil Nadu"/>
    <x v="3"/>
    <s v="HTC Explorer"/>
    <s v="Units"/>
    <n v="70"/>
    <n v="62"/>
    <n v="36"/>
    <n v="97"/>
    <n v="89"/>
  </r>
  <r>
    <s v="Tamil Nadu"/>
    <x v="3"/>
    <s v="HTC Evo 3D"/>
    <s v="Units"/>
    <n v="85"/>
    <n v="21"/>
    <n v="75"/>
    <n v="37"/>
    <n v="93"/>
  </r>
  <r>
    <s v="Tamil Nadu"/>
    <x v="3"/>
    <s v="HTC ChaCha"/>
    <s v="Units"/>
    <n v="61"/>
    <n v="55"/>
    <n v="72"/>
    <n v="35"/>
    <n v="54"/>
  </r>
  <r>
    <s v="Tamil Nadu"/>
    <x v="3"/>
    <s v="HTC Sensation"/>
    <s v="Units"/>
    <n v="12"/>
    <n v="30"/>
    <n v="63"/>
    <n v="61"/>
    <n v="56"/>
  </r>
  <r>
    <s v="Tamil Nadu"/>
    <x v="3"/>
    <s v="HTC Wildfire S"/>
    <s v="Units"/>
    <n v="26"/>
    <n v="99"/>
    <n v="16"/>
    <n v="88"/>
    <n v="35"/>
  </r>
  <r>
    <s v="Tamil Nadu"/>
    <x v="3"/>
    <s v="HTC Incredible S"/>
    <s v="Units"/>
    <n v="22"/>
    <n v="88"/>
    <n v="18"/>
    <n v="82"/>
    <n v="77"/>
  </r>
  <r>
    <s v="Tamil Nadu"/>
    <x v="3"/>
    <s v="HTC Desire S"/>
    <s v="Units"/>
    <n v="82"/>
    <n v="74"/>
    <n v="30"/>
    <n v="24"/>
    <n v="86"/>
  </r>
  <r>
    <s v="Tamil Nadu"/>
    <x v="4"/>
    <s v="LG Optimus Sol E730"/>
    <s v="Units"/>
    <n v="41"/>
    <n v="13"/>
    <n v="32"/>
    <n v="30"/>
    <n v="52"/>
  </r>
  <r>
    <s v="Tamil Nadu"/>
    <x v="4"/>
    <s v="LG Optimus Net Dual P698"/>
    <s v="Units"/>
    <n v="97"/>
    <n v="42"/>
    <n v="12"/>
    <n v="59"/>
    <n v="48"/>
  </r>
  <r>
    <s v="Tamil Nadu"/>
    <x v="4"/>
    <s v="LG Optimus 3D P920"/>
    <s v="Units"/>
    <n v="49"/>
    <n v="100"/>
    <n v="80"/>
    <n v="25"/>
    <n v="31"/>
  </r>
  <r>
    <s v="Tamil Nadu"/>
    <x v="4"/>
    <s v="LG Optimus NET P690"/>
    <s v="Units"/>
    <n v="99"/>
    <n v="33"/>
    <n v="39"/>
    <n v="35"/>
    <n v="31"/>
  </r>
  <r>
    <s v="Tamil Nadu"/>
    <x v="4"/>
    <s v="LG Optimus Pro C660"/>
    <s v="Units"/>
    <n v="18"/>
    <n v="79"/>
    <n v="88"/>
    <n v="59"/>
    <n v="43"/>
  </r>
  <r>
    <s v="Tamil Nadu"/>
    <x v="4"/>
    <s v="LG Optimus Black P970"/>
    <s v="Units"/>
    <n v="54"/>
    <n v="97"/>
    <n v="72"/>
    <n v="97"/>
    <n v="38"/>
  </r>
  <r>
    <s v="Tamil Nadu"/>
    <x v="4"/>
    <s v="LG Optimus 2X"/>
    <s v="Units"/>
    <n v="23"/>
    <n v="22"/>
    <n v="85"/>
    <n v="59"/>
    <n v="29"/>
  </r>
  <r>
    <s v="Tamil Nadu"/>
    <x v="4"/>
    <s v="LG Optimus One P500"/>
    <s v="Units"/>
    <n v="36"/>
    <n v="62"/>
    <n v="90"/>
    <n v="71"/>
    <n v="57"/>
  </r>
  <r>
    <s v="Tamil Nadu"/>
    <x v="4"/>
    <s v="LG Optimus 5X"/>
    <s v="Units"/>
    <n v="50"/>
    <n v="56"/>
    <n v="77"/>
    <n v="36"/>
    <n v="73"/>
  </r>
  <r>
    <s v="Tamil Nadu"/>
    <x v="4"/>
    <s v="LG Optimus 12X"/>
    <s v="Units"/>
    <n v="11"/>
    <n v="91"/>
    <n v="41"/>
    <n v="44"/>
    <n v="93"/>
  </r>
  <r>
    <s v="Tamil Nadu"/>
    <x v="5"/>
    <s v="Motorola Razr XT910"/>
    <s v="Units"/>
    <n v="83"/>
    <n v="62"/>
    <n v="64"/>
    <n v="100"/>
    <n v="97"/>
  </r>
  <r>
    <s v="Tamil Nadu"/>
    <x v="5"/>
    <s v="Motorola Defy+"/>
    <s v="Units"/>
    <n v="82"/>
    <n v="37"/>
    <n v="12"/>
    <n v="52"/>
    <n v="88"/>
  </r>
  <r>
    <s v="Tamil Nadu"/>
    <x v="5"/>
    <s v="Motorola Fire XT530"/>
    <s v="Units"/>
    <n v="28"/>
    <n v="88"/>
    <n v="88"/>
    <n v="87"/>
    <n v="50"/>
  </r>
  <r>
    <s v="Tamil Nadu"/>
    <x v="5"/>
    <s v="Motorola Brea EX119"/>
    <s v="Units"/>
    <n v="85"/>
    <n v="16"/>
    <n v="89"/>
    <n v="43"/>
    <n v="22"/>
  </r>
  <r>
    <s v="Tamil Nadu"/>
    <x v="5"/>
    <s v="Motorola Fire"/>
    <s v="Units"/>
    <n v="78"/>
    <n v="49"/>
    <n v="34"/>
    <n v="47"/>
    <n v="22"/>
  </r>
  <r>
    <s v="Tamil Nadu"/>
    <x v="5"/>
    <s v="Motorola Xoom 32GB (Wi-Fi) Tablet"/>
    <s v="Units"/>
    <n v="10"/>
    <n v="35"/>
    <n v="29"/>
    <n v="41"/>
    <n v="44"/>
  </r>
  <r>
    <s v="Tamil Nadu"/>
    <x v="5"/>
    <s v="Motorola Xoom 32GB (Wi-Fi+3G) Tablet"/>
    <s v="Units"/>
    <n v="58"/>
    <n v="70"/>
    <n v="70"/>
    <n v="58"/>
    <n v="87"/>
  </r>
  <r>
    <s v="Tamil Nadu"/>
    <x v="5"/>
    <s v="Motorola Milestone 4GB"/>
    <s v="Units"/>
    <n v="64"/>
    <n v="68"/>
    <n v="63"/>
    <n v="68"/>
    <n v="56"/>
  </r>
  <r>
    <s v="Tamil Nadu"/>
    <x v="5"/>
    <s v="Motorola Milestone 16GB"/>
    <s v="Units"/>
    <n v="67"/>
    <n v="66"/>
    <n v="31"/>
    <n v="32"/>
    <n v="82"/>
  </r>
  <r>
    <s v="Tamil Nadu"/>
    <x v="5"/>
    <s v="Motorola Milestone 32GB"/>
    <s v="Units"/>
    <n v="55"/>
    <n v="33"/>
    <n v="92"/>
    <n v="28"/>
    <n v="64"/>
  </r>
  <r>
    <s v="Tamil Nadu"/>
    <x v="6"/>
    <s v="Blackberry Bold 9790"/>
    <s v="Units"/>
    <n v="49"/>
    <n v="21"/>
    <n v="96"/>
    <n v="59"/>
    <n v="69"/>
  </r>
  <r>
    <s v="Tamil Nadu"/>
    <x v="6"/>
    <s v="Blackberry Curve 9380"/>
    <s v="Units"/>
    <n v="98"/>
    <n v="82"/>
    <n v="65"/>
    <n v="85"/>
    <n v="83"/>
  </r>
  <r>
    <s v="Tamil Nadu"/>
    <x v="6"/>
    <s v="Blackberry Torch 9860"/>
    <s v="Units"/>
    <n v="96"/>
    <n v="38"/>
    <n v="84"/>
    <n v="87"/>
    <n v="93"/>
  </r>
  <r>
    <s v="Tamil Nadu"/>
    <x v="6"/>
    <s v="Blackberry Curve 9360"/>
    <s v="Units"/>
    <n v="88"/>
    <n v="29"/>
    <n v="24"/>
    <n v="62"/>
    <n v="93"/>
  </r>
  <r>
    <s v="Tamil Nadu"/>
    <x v="6"/>
    <s v="Blackberry Torch 9810"/>
    <s v="Units"/>
    <n v="16"/>
    <n v="39"/>
    <n v="16"/>
    <n v="99"/>
    <n v="77"/>
  </r>
  <r>
    <s v="Tamil Nadu"/>
    <x v="6"/>
    <s v="Blackberry Bold 4 9900"/>
    <s v="Units"/>
    <n v="13"/>
    <n v="90"/>
    <n v="48"/>
    <n v="86"/>
    <n v="40"/>
  </r>
  <r>
    <s v="Tamil Nadu"/>
    <x v="6"/>
    <s v="Blackberry Playbook 64GB Wi-Fi Tablet"/>
    <s v="Units"/>
    <n v="97"/>
    <n v="38"/>
    <n v="80"/>
    <n v="16"/>
    <n v="22"/>
  </r>
  <r>
    <s v="Tamil Nadu"/>
    <x v="6"/>
    <s v="Blackberry Playbook 32GB Wi-Fi Tablet"/>
    <s v="Units"/>
    <n v="91"/>
    <n v="78"/>
    <n v="29"/>
    <n v="83"/>
    <n v="36"/>
  </r>
  <r>
    <s v="Tamil Nadu"/>
    <x v="6"/>
    <s v="Blackberry Playbook 16GB Wi-Fi Tablet"/>
    <s v="Units"/>
    <n v="62"/>
    <n v="79"/>
    <n v="86"/>
    <n v="59"/>
    <n v="41"/>
  </r>
  <r>
    <s v="Tamil Nadu"/>
    <x v="6"/>
    <s v="Blackberry Bold 9780"/>
    <s v="Units"/>
    <n v="80"/>
    <n v="72"/>
    <n v="14"/>
    <n v="16"/>
    <n v="21"/>
  </r>
  <r>
    <s v="Tamil Nadu"/>
    <x v="7"/>
    <s v="Apple iPhone 4S 64GB"/>
    <s v="Units"/>
    <n v="59"/>
    <n v="32"/>
    <n v="18"/>
    <n v="77"/>
    <n v="13"/>
  </r>
  <r>
    <s v="Tamil Nadu"/>
    <x v="7"/>
    <s v="Apple iPhone 4S 32GB"/>
    <s v="Units"/>
    <n v="75"/>
    <n v="56"/>
    <n v="71"/>
    <n v="43"/>
    <n v="44"/>
  </r>
  <r>
    <s v="Tamil Nadu"/>
    <x v="7"/>
    <s v="Apple iPhone 4S 16GB"/>
    <s v="Units"/>
    <n v="18"/>
    <n v="29"/>
    <n v="82"/>
    <n v="90"/>
    <n v="12"/>
  </r>
  <r>
    <s v="Tamil Nadu"/>
    <x v="7"/>
    <s v="Apple iPhone 4 8GB"/>
    <s v="Units"/>
    <n v="61"/>
    <n v="53"/>
    <n v="27"/>
    <n v="26"/>
    <n v="56"/>
  </r>
  <r>
    <s v="Tamil Nadu"/>
    <x v="7"/>
    <s v="Apple iPad 2 16GB (Wi-Fi) Tablet"/>
    <s v="Units"/>
    <n v="37"/>
    <n v="19"/>
    <n v="61"/>
    <n v="65"/>
    <n v="65"/>
  </r>
  <r>
    <s v="Tamil Nadu"/>
    <x v="7"/>
    <s v="Apple iPad 2 32GB (Wi-Fi) Tablet"/>
    <s v="Units"/>
    <n v="76"/>
    <n v="56"/>
    <n v="76"/>
    <n v="87"/>
    <n v="32"/>
  </r>
  <r>
    <s v="Tamil Nadu"/>
    <x v="7"/>
    <s v="Apple iPad 2 64GB (Wi-Fi) Tablet"/>
    <s v="Units"/>
    <n v="69"/>
    <n v="78"/>
    <n v="68"/>
    <n v="87"/>
    <n v="81"/>
  </r>
  <r>
    <s v="Tamil Nadu"/>
    <x v="7"/>
    <s v="Apple iPad 2 16GB (Wi-Fi+3G) Tablet"/>
    <s v="Units"/>
    <n v="100"/>
    <n v="29"/>
    <n v="97"/>
    <n v="61"/>
    <n v="61"/>
  </r>
  <r>
    <s v="Tamil Nadu"/>
    <x v="7"/>
    <s v="Apple iPad 2 32GB (Wi-Fi+3G) Tablet"/>
    <s v="Units"/>
    <n v="60"/>
    <n v="91"/>
    <n v="89"/>
    <n v="10"/>
    <n v="62"/>
  </r>
  <r>
    <s v="Tamil Nadu"/>
    <x v="7"/>
    <s v="Apple iPad 2 64GB (Wi-Fi+3G) Tablet"/>
    <s v="Units"/>
    <n v="93"/>
    <n v="44"/>
    <n v="78"/>
    <n v="28"/>
    <n v="99"/>
  </r>
  <r>
    <s v="New Delhi"/>
    <x v="0"/>
    <s v="Nokia Lumia 800"/>
    <s v="Units"/>
    <n v="44"/>
    <n v="48"/>
    <n v="68"/>
    <n v="52"/>
    <n v="94"/>
  </r>
  <r>
    <s v="New Delhi"/>
    <x v="0"/>
    <s v="Nokia Lumia 710"/>
    <s v="Units"/>
    <n v="14"/>
    <n v="73"/>
    <n v="62"/>
    <n v="17"/>
    <n v="75"/>
  </r>
  <r>
    <s v="New Delhi"/>
    <x v="0"/>
    <s v="Nokia 603"/>
    <s v="Units"/>
    <n v="33"/>
    <n v="23"/>
    <n v="47"/>
    <n v="36"/>
    <n v="11"/>
  </r>
  <r>
    <s v="New Delhi"/>
    <x v="0"/>
    <s v="Nokia 701"/>
    <s v="Units"/>
    <n v="28"/>
    <n v="82"/>
    <n v="39"/>
    <n v="90"/>
    <n v="49"/>
  </r>
  <r>
    <s v="New Delhi"/>
    <x v="0"/>
    <s v="Nokia 500 Fate"/>
    <s v="Units"/>
    <n v="72"/>
    <n v="73"/>
    <n v="83"/>
    <n v="55"/>
    <n v="19"/>
  </r>
  <r>
    <s v="New Delhi"/>
    <x v="0"/>
    <s v="Nokia E6"/>
    <s v="Units"/>
    <n v="38"/>
    <n v="22"/>
    <n v="19"/>
    <n v="40"/>
    <n v="16"/>
  </r>
  <r>
    <s v="New Delhi"/>
    <x v="0"/>
    <s v="Nokia X7"/>
    <s v="Units"/>
    <n v="23"/>
    <n v="44"/>
    <n v="83"/>
    <n v="28"/>
    <n v="29"/>
  </r>
  <r>
    <s v="New Delhi"/>
    <x v="0"/>
    <s v="Nokia E7"/>
    <s v="Units"/>
    <n v="91"/>
    <n v="65"/>
    <n v="26"/>
    <n v="75"/>
    <n v="51"/>
  </r>
  <r>
    <s v="New Delhi"/>
    <x v="0"/>
    <s v="Nokia C3-01"/>
    <s v="Units"/>
    <n v="61"/>
    <n v="86"/>
    <n v="42"/>
    <n v="85"/>
    <n v="43"/>
  </r>
  <r>
    <s v="New Delhi"/>
    <x v="0"/>
    <s v="Nokia E5"/>
    <s v="Units"/>
    <n v="86"/>
    <n v="95"/>
    <n v="49"/>
    <n v="31"/>
    <n v="38"/>
  </r>
  <r>
    <s v="New Delhi"/>
    <x v="1"/>
    <s v="Samsung Omnia W I8350"/>
    <s v="Units"/>
    <n v="10"/>
    <n v="40"/>
    <n v="49"/>
    <n v="77"/>
    <n v="13"/>
  </r>
  <r>
    <s v="New Delhi"/>
    <x v="1"/>
    <s v="Samsung Galaxy Tab 620"/>
    <s v="Units"/>
    <n v="86"/>
    <n v="96"/>
    <n v="29"/>
    <n v="28"/>
    <n v="24"/>
  </r>
  <r>
    <s v="New Delhi"/>
    <x v="1"/>
    <s v="Samsung Wave III S8600"/>
    <s v="Units"/>
    <n v="50"/>
    <n v="30"/>
    <n v="33"/>
    <n v="40"/>
    <n v="56"/>
  </r>
  <r>
    <s v="New Delhi"/>
    <x v="1"/>
    <s v="Samsung Wave Y S5380"/>
    <s v="Units"/>
    <n v="25"/>
    <n v="71"/>
    <n v="36"/>
    <n v="39"/>
    <n v="80"/>
  </r>
  <r>
    <s v="New Delhi"/>
    <x v="1"/>
    <s v="Samsung Galaxy Tab 730"/>
    <s v="Units"/>
    <n v="54"/>
    <n v="16"/>
    <n v="62"/>
    <n v="30"/>
    <n v="57"/>
  </r>
  <r>
    <s v="New Delhi"/>
    <x v="1"/>
    <s v="Samsung Galaxy Note GT-N7000"/>
    <s v="Units"/>
    <n v="35"/>
    <n v="29"/>
    <n v="30"/>
    <n v="13"/>
    <n v="36"/>
  </r>
  <r>
    <s v="New Delhi"/>
    <x v="1"/>
    <s v="Samsung Galaxy R I9103"/>
    <s v="Units"/>
    <n v="83"/>
    <n v="64"/>
    <n v="17"/>
    <n v="82"/>
    <n v="11"/>
  </r>
  <r>
    <s v="New Delhi"/>
    <x v="1"/>
    <s v="Samsung Galaxy S Plus I9001"/>
    <s v="Units"/>
    <n v="87"/>
    <n v="83"/>
    <n v="75"/>
    <n v="99"/>
    <n v="18"/>
  </r>
  <r>
    <s v="New Delhi"/>
    <x v="1"/>
    <s v="Samsung Galaxy Y S5360"/>
    <s v="Units"/>
    <n v="99"/>
    <n v="80"/>
    <n v="39"/>
    <n v="47"/>
    <n v="35"/>
  </r>
  <r>
    <s v="New Delhi"/>
    <x v="1"/>
    <s v="Samsung Galaxy S II"/>
    <s v="Units"/>
    <n v="69"/>
    <n v="83"/>
    <n v="96"/>
    <n v="92"/>
    <n v="28"/>
  </r>
  <r>
    <s v="New Delhi"/>
    <x v="2"/>
    <s v="Sony Ericsson Live WT19i"/>
    <s v="Units"/>
    <n v="92"/>
    <n v="47"/>
    <n v="59"/>
    <n v="62"/>
    <n v="59"/>
  </r>
  <r>
    <s v="New Delhi"/>
    <x v="2"/>
    <s v="Sony Ericsson Xperia Arc S"/>
    <s v="Units"/>
    <n v="33"/>
    <n v="47"/>
    <n v="63"/>
    <n v="73"/>
    <n v="81"/>
  </r>
  <r>
    <s v="New Delhi"/>
    <x v="2"/>
    <s v="Sony Ericsson Xperia Pro"/>
    <s v="Units"/>
    <n v="17"/>
    <n v="12"/>
    <n v="86"/>
    <n v="45"/>
    <n v="89"/>
  </r>
  <r>
    <s v="New Delhi"/>
    <x v="2"/>
    <s v="Sony Ericsson Xperia Active ST17i"/>
    <s v="Units"/>
    <n v="29"/>
    <n v="73"/>
    <n v="78"/>
    <n v="68"/>
    <n v="83"/>
  </r>
  <r>
    <s v="New Delhi"/>
    <x v="2"/>
    <s v="Sony Ericsson Xperia Neo V"/>
    <s v="Units"/>
    <n v="11"/>
    <n v="30"/>
    <n v="52"/>
    <n v="41"/>
    <n v="82"/>
  </r>
  <r>
    <s v="New Delhi"/>
    <x v="2"/>
    <s v="Sony Ericsson Xperia Ray ST18i"/>
    <s v="Units"/>
    <n v="89"/>
    <n v="21"/>
    <n v="19"/>
    <n v="81"/>
    <n v="59"/>
  </r>
  <r>
    <s v="New Delhi"/>
    <x v="2"/>
    <s v="Sony Ericsson Xperia Mini Pro SK17i"/>
    <s v="Units"/>
    <n v="99"/>
    <n v="56"/>
    <n v="77"/>
    <n v="42"/>
    <n v="53"/>
  </r>
  <r>
    <s v="New Delhi"/>
    <x v="2"/>
    <s v="Sony Ericsson Xperia Mini ST15i"/>
    <s v="Units"/>
    <n v="51"/>
    <n v="91"/>
    <n v="100"/>
    <n v="99"/>
    <n v="22"/>
  </r>
  <r>
    <s v="New Delhi"/>
    <x v="2"/>
    <s v="Sony Ericsson Fengli txt pro CK15i"/>
    <s v="Units"/>
    <n v="44"/>
    <n v="33"/>
    <n v="84"/>
    <n v="49"/>
    <n v="18"/>
  </r>
  <r>
    <s v="New Delhi"/>
    <x v="2"/>
    <s v="Sony Ericsson Xperia 32GB"/>
    <s v="Units"/>
    <n v="77"/>
    <n v="30"/>
    <n v="78"/>
    <n v="12"/>
    <n v="42"/>
  </r>
  <r>
    <s v="New Delhi"/>
    <x v="3"/>
    <s v="HTC Sensation XE"/>
    <s v="Units"/>
    <n v="45"/>
    <n v="82"/>
    <n v="37"/>
    <n v="46"/>
    <n v="19"/>
  </r>
  <r>
    <s v="New Delhi"/>
    <x v="3"/>
    <s v="HTC Rhyme (Sea Glass)"/>
    <s v="Units"/>
    <n v="38"/>
    <n v="45"/>
    <n v="72"/>
    <n v="46"/>
    <n v="50"/>
  </r>
  <r>
    <s v="New Delhi"/>
    <x v="3"/>
    <s v="HTC Radar"/>
    <s v="Units"/>
    <n v="56"/>
    <n v="76"/>
    <n v="49"/>
    <n v="92"/>
    <n v="16"/>
  </r>
  <r>
    <s v="New Delhi"/>
    <x v="3"/>
    <s v="HTC Explorer"/>
    <s v="Units"/>
    <n v="45"/>
    <n v="25"/>
    <n v="50"/>
    <n v="52"/>
    <n v="71"/>
  </r>
  <r>
    <s v="New Delhi"/>
    <x v="3"/>
    <s v="HTC Evo 3D"/>
    <s v="Units"/>
    <n v="45"/>
    <n v="65"/>
    <n v="42"/>
    <n v="97"/>
    <n v="90"/>
  </r>
  <r>
    <s v="New Delhi"/>
    <x v="3"/>
    <s v="HTC ChaCha"/>
    <s v="Units"/>
    <n v="53"/>
    <n v="70"/>
    <n v="79"/>
    <n v="42"/>
    <n v="13"/>
  </r>
  <r>
    <s v="New Delhi"/>
    <x v="3"/>
    <s v="HTC Sensation"/>
    <s v="Units"/>
    <n v="78"/>
    <n v="13"/>
    <n v="48"/>
    <n v="71"/>
    <n v="28"/>
  </r>
  <r>
    <s v="New Delhi"/>
    <x v="3"/>
    <s v="HTC Wildfire S"/>
    <s v="Units"/>
    <n v="88"/>
    <n v="46"/>
    <n v="58"/>
    <n v="30"/>
    <n v="88"/>
  </r>
  <r>
    <s v="New Delhi"/>
    <x v="3"/>
    <s v="HTC Incredible S"/>
    <s v="Units"/>
    <n v="89"/>
    <n v="33"/>
    <n v="37"/>
    <n v="36"/>
    <n v="54"/>
  </r>
  <r>
    <s v="New Delhi"/>
    <x v="3"/>
    <s v="HTC Desire S"/>
    <s v="Units"/>
    <n v="93"/>
    <n v="65"/>
    <n v="47"/>
    <n v="90"/>
    <n v="54"/>
  </r>
  <r>
    <s v="New Delhi"/>
    <x v="4"/>
    <s v="LG Optimus Sol E730"/>
    <s v="Units"/>
    <n v="36"/>
    <n v="26"/>
    <n v="53"/>
    <n v="85"/>
    <n v="87"/>
  </r>
  <r>
    <s v="New Delhi"/>
    <x v="4"/>
    <s v="LG Optimus Net Dual P698"/>
    <s v="Units"/>
    <n v="72"/>
    <n v="89"/>
    <n v="33"/>
    <n v="76"/>
    <n v="65"/>
  </r>
  <r>
    <s v="New Delhi"/>
    <x v="4"/>
    <s v="LG Optimus 3D P920"/>
    <s v="Units"/>
    <n v="10"/>
    <n v="82"/>
    <n v="70"/>
    <n v="20"/>
    <n v="63"/>
  </r>
  <r>
    <s v="New Delhi"/>
    <x v="4"/>
    <s v="LG Optimus NET P690"/>
    <s v="Units"/>
    <n v="64"/>
    <n v="54"/>
    <n v="39"/>
    <n v="20"/>
    <n v="61"/>
  </r>
  <r>
    <s v="New Delhi"/>
    <x v="4"/>
    <s v="LG Optimus Pro C660"/>
    <s v="Units"/>
    <n v="14"/>
    <n v="10"/>
    <n v="43"/>
    <n v="67"/>
    <n v="96"/>
  </r>
  <r>
    <s v="New Delhi"/>
    <x v="4"/>
    <s v="LG Optimus Black P970"/>
    <s v="Units"/>
    <n v="75"/>
    <n v="91"/>
    <n v="96"/>
    <n v="42"/>
    <n v="14"/>
  </r>
  <r>
    <s v="New Delhi"/>
    <x v="4"/>
    <s v="LG Optimus 2X"/>
    <s v="Units"/>
    <n v="35"/>
    <n v="74"/>
    <n v="56"/>
    <n v="58"/>
    <n v="87"/>
  </r>
  <r>
    <s v="New Delhi"/>
    <x v="4"/>
    <s v="LG Optimus One P500"/>
    <s v="Units"/>
    <n v="14"/>
    <n v="16"/>
    <n v="70"/>
    <n v="52"/>
    <n v="81"/>
  </r>
  <r>
    <s v="New Delhi"/>
    <x v="4"/>
    <s v="LG Optimus 5X"/>
    <s v="Units"/>
    <n v="82"/>
    <n v="30"/>
    <n v="78"/>
    <n v="82"/>
    <n v="58"/>
  </r>
  <r>
    <s v="New Delhi"/>
    <x v="4"/>
    <s v="LG Optimus 12X"/>
    <s v="Units"/>
    <n v="49"/>
    <n v="84"/>
    <n v="39"/>
    <n v="41"/>
    <n v="65"/>
  </r>
  <r>
    <s v="New Delhi"/>
    <x v="5"/>
    <s v="Motorola Razr XT910"/>
    <s v="Units"/>
    <n v="94"/>
    <n v="61"/>
    <n v="21"/>
    <n v="39"/>
    <n v="75"/>
  </r>
  <r>
    <s v="New Delhi"/>
    <x v="5"/>
    <s v="Motorola Defy+"/>
    <s v="Units"/>
    <n v="78"/>
    <n v="50"/>
    <n v="31"/>
    <n v="22"/>
    <n v="38"/>
  </r>
  <r>
    <s v="New Delhi"/>
    <x v="5"/>
    <s v="Motorola Fire XT530"/>
    <s v="Units"/>
    <n v="16"/>
    <n v="79"/>
    <n v="63"/>
    <n v="39"/>
    <n v="15"/>
  </r>
  <r>
    <s v="New Delhi"/>
    <x v="5"/>
    <s v="Motorola Brea EX119"/>
    <s v="Units"/>
    <n v="56"/>
    <n v="69"/>
    <n v="77"/>
    <n v="74"/>
    <n v="49"/>
  </r>
  <r>
    <s v="New Delhi"/>
    <x v="5"/>
    <s v="Motorola Fire"/>
    <s v="Units"/>
    <n v="21"/>
    <n v="26"/>
    <n v="68"/>
    <n v="86"/>
    <n v="92"/>
  </r>
  <r>
    <s v="New Delhi"/>
    <x v="5"/>
    <s v="Motorola Xoom 32GB (Wi-Fi) Tablet"/>
    <s v="Units"/>
    <n v="60"/>
    <n v="83"/>
    <n v="46"/>
    <n v="93"/>
    <n v="34"/>
  </r>
  <r>
    <s v="New Delhi"/>
    <x v="5"/>
    <s v="Motorola Xoom 32GB (Wi-Fi+3G) Tablet"/>
    <s v="Units"/>
    <n v="54"/>
    <n v="83"/>
    <n v="32"/>
    <n v="35"/>
    <n v="29"/>
  </r>
  <r>
    <s v="New Delhi"/>
    <x v="5"/>
    <s v="Motorola Milestone 4GB"/>
    <s v="Units"/>
    <n v="73"/>
    <n v="10"/>
    <n v="31"/>
    <n v="79"/>
    <n v="25"/>
  </r>
  <r>
    <s v="New Delhi"/>
    <x v="5"/>
    <s v="Motorola Milestone 16GB"/>
    <s v="Units"/>
    <n v="52"/>
    <n v="48"/>
    <n v="55"/>
    <n v="70"/>
    <n v="60"/>
  </r>
  <r>
    <s v="New Delhi"/>
    <x v="5"/>
    <s v="Motorola Milestone 32GB"/>
    <s v="Units"/>
    <n v="69"/>
    <n v="19"/>
    <n v="42"/>
    <n v="38"/>
    <n v="56"/>
  </r>
  <r>
    <s v="New Delhi"/>
    <x v="6"/>
    <s v="Blackberry Bold 9790"/>
    <s v="Units"/>
    <n v="98"/>
    <n v="19"/>
    <n v="24"/>
    <n v="65"/>
    <n v="95"/>
  </r>
  <r>
    <s v="New Delhi"/>
    <x v="6"/>
    <s v="Blackberry Curve 9380"/>
    <s v="Units"/>
    <n v="60"/>
    <n v="93"/>
    <n v="45"/>
    <n v="71"/>
    <n v="11"/>
  </r>
  <r>
    <s v="New Delhi"/>
    <x v="6"/>
    <s v="Blackberry Torch 9860"/>
    <s v="Units"/>
    <n v="93"/>
    <n v="56"/>
    <n v="66"/>
    <n v="32"/>
    <n v="90"/>
  </r>
  <r>
    <s v="New Delhi"/>
    <x v="6"/>
    <s v="Blackberry Curve 9360"/>
    <s v="Units"/>
    <n v="77"/>
    <n v="78"/>
    <n v="86"/>
    <n v="89"/>
    <n v="49"/>
  </r>
  <r>
    <s v="New Delhi"/>
    <x v="6"/>
    <s v="Blackberry Torch 9810"/>
    <s v="Units"/>
    <n v="86"/>
    <n v="64"/>
    <n v="14"/>
    <n v="91"/>
    <n v="85"/>
  </r>
  <r>
    <s v="New Delhi"/>
    <x v="6"/>
    <s v="Blackberry Bold 4 9900"/>
    <s v="Units"/>
    <n v="76"/>
    <n v="40"/>
    <n v="13"/>
    <n v="27"/>
    <n v="87"/>
  </r>
  <r>
    <s v="New Delhi"/>
    <x v="6"/>
    <s v="Blackberry Playbook 64GB Wi-Fi Tablet"/>
    <s v="Units"/>
    <n v="86"/>
    <n v="80"/>
    <n v="27"/>
    <n v="59"/>
    <n v="99"/>
  </r>
  <r>
    <s v="New Delhi"/>
    <x v="6"/>
    <s v="Blackberry Playbook 32GB Wi-Fi Tablet"/>
    <s v="Units"/>
    <n v="44"/>
    <n v="40"/>
    <n v="30"/>
    <n v="25"/>
    <n v="96"/>
  </r>
  <r>
    <s v="New Delhi"/>
    <x v="6"/>
    <s v="Blackberry Playbook 16GB Wi-Fi Tablet"/>
    <s v="Units"/>
    <n v="43"/>
    <n v="87"/>
    <n v="40"/>
    <n v="20"/>
    <n v="91"/>
  </r>
  <r>
    <s v="New Delhi"/>
    <x v="6"/>
    <s v="Blackberry Bold 9780"/>
    <s v="Units"/>
    <n v="33"/>
    <n v="37"/>
    <n v="90"/>
    <n v="48"/>
    <n v="57"/>
  </r>
  <r>
    <s v="New Delhi"/>
    <x v="7"/>
    <s v="Apple iPhone 4S 64GB"/>
    <s v="Units"/>
    <n v="81"/>
    <n v="71"/>
    <n v="21"/>
    <n v="98"/>
    <n v="60"/>
  </r>
  <r>
    <s v="New Delhi"/>
    <x v="7"/>
    <s v="Apple iPhone 4S 32GB"/>
    <s v="Units"/>
    <n v="52"/>
    <n v="32"/>
    <n v="74"/>
    <n v="43"/>
    <n v="44"/>
  </r>
  <r>
    <s v="New Delhi"/>
    <x v="7"/>
    <s v="Apple iPhone 4S 16GB"/>
    <s v="Units"/>
    <n v="48"/>
    <n v="82"/>
    <n v="98"/>
    <n v="75"/>
    <n v="36"/>
  </r>
  <r>
    <s v="New Delhi"/>
    <x v="7"/>
    <s v="Apple iPhone 4 8GB"/>
    <s v="Units"/>
    <n v="44"/>
    <n v="92"/>
    <n v="68"/>
    <n v="99"/>
    <n v="90"/>
  </r>
  <r>
    <s v="New Delhi"/>
    <x v="7"/>
    <s v="Apple iPad 2 16GB (Wi-Fi) Tablet"/>
    <s v="Units"/>
    <n v="21"/>
    <n v="53"/>
    <n v="32"/>
    <n v="85"/>
    <n v="16"/>
  </r>
  <r>
    <s v="New Delhi"/>
    <x v="7"/>
    <s v="Apple iPad 2 32GB (Wi-Fi) Tablet"/>
    <s v="Units"/>
    <n v="45"/>
    <n v="34"/>
    <n v="20"/>
    <n v="75"/>
    <n v="32"/>
  </r>
  <r>
    <s v="New Delhi"/>
    <x v="7"/>
    <s v="Apple iPad 2 64GB (Wi-Fi) Tablet"/>
    <s v="Units"/>
    <n v="56"/>
    <n v="10"/>
    <n v="17"/>
    <n v="69"/>
    <n v="58"/>
  </r>
  <r>
    <s v="New Delhi"/>
    <x v="7"/>
    <s v="Apple iPad 2 16GB (Wi-Fi+3G) Tablet"/>
    <s v="Units"/>
    <n v="26"/>
    <n v="38"/>
    <n v="39"/>
    <n v="72"/>
    <n v="39"/>
  </r>
  <r>
    <s v="New Delhi"/>
    <x v="7"/>
    <s v="Apple iPad 2 32GB (Wi-Fi+3G) Tablet"/>
    <s v="Units"/>
    <n v="33"/>
    <n v="32"/>
    <n v="48"/>
    <n v="70"/>
    <n v="57"/>
  </r>
  <r>
    <s v="New Delhi"/>
    <x v="7"/>
    <s v="Apple iPad 2 64GB (Wi-Fi+3G) Tablet"/>
    <s v="Units"/>
    <n v="14"/>
    <n v="19"/>
    <n v="46"/>
    <n v="65"/>
    <n v="34"/>
  </r>
  <r>
    <s v="Andhra Pradesh"/>
    <x v="0"/>
    <s v="Nokia Lumia 800"/>
    <s v="Sales"/>
    <n v="1439952"/>
    <n v="1649945"/>
    <n v="1739942"/>
    <n v="2819906"/>
    <n v="389987"/>
  </r>
  <r>
    <s v="Andhra Pradesh"/>
    <x v="0"/>
    <s v="Nokia Lumia 710"/>
    <s v="Sales"/>
    <n v="188388"/>
    <n v="1098930"/>
    <n v="753552"/>
    <n v="1569900"/>
    <n v="910542"/>
  </r>
  <r>
    <s v="Andhra Pradesh"/>
    <x v="0"/>
    <s v="Nokia 603"/>
    <s v="Sales"/>
    <n v="882060"/>
    <n v="708540"/>
    <n v="491640"/>
    <n v="1200180"/>
    <n v="997740"/>
  </r>
  <r>
    <s v="Andhra Pradesh"/>
    <x v="0"/>
    <s v="Nokia 701"/>
    <s v="Sales"/>
    <n v="985942"/>
    <n v="1206929"/>
    <n v="1444915"/>
    <n v="1291924"/>
    <n v="594965"/>
  </r>
  <r>
    <s v="Andhra Pradesh"/>
    <x v="0"/>
    <s v="Nokia 500 Fate"/>
    <s v="Sales"/>
    <n v="942975"/>
    <n v="723900"/>
    <n v="733425"/>
    <n v="304800"/>
    <n v="180975"/>
  </r>
  <r>
    <s v="Andhra Pradesh"/>
    <x v="0"/>
    <s v="Nokia E6"/>
    <s v="Sales"/>
    <n v="547200"/>
    <n v="1641600"/>
    <n v="649800"/>
    <n v="1436400"/>
    <n v="1214100"/>
  </r>
  <r>
    <s v="Andhra Pradesh"/>
    <x v="0"/>
    <s v="Nokia X7"/>
    <s v="Sales"/>
    <n v="428780"/>
    <n v="662660"/>
    <n v="1539710"/>
    <n v="1520220"/>
    <n v="1227870"/>
  </r>
  <r>
    <s v="Andhra Pradesh"/>
    <x v="0"/>
    <s v="Nokia E7"/>
    <s v="Sales"/>
    <n v="1886820"/>
    <n v="725700"/>
    <n v="1185310"/>
    <n v="1282070"/>
    <n v="1572350"/>
  </r>
  <r>
    <s v="Andhra Pradesh"/>
    <x v="0"/>
    <s v="Nokia C3-01"/>
    <s v="Sales"/>
    <n v="327590"/>
    <n v="151810"/>
    <n v="207740"/>
    <n v="127840"/>
    <n v="287640"/>
  </r>
  <r>
    <s v="Andhra Pradesh"/>
    <x v="0"/>
    <s v="Nokia E5"/>
    <s v="Sales"/>
    <n v="527220"/>
    <n v="145440"/>
    <n v="536310"/>
    <n v="254520"/>
    <n v="609030"/>
  </r>
  <r>
    <s v="Andhra Pradesh"/>
    <x v="1"/>
    <s v="Samsung Omnia W I8350"/>
    <s v="Sales"/>
    <n v="389378"/>
    <n v="1592910"/>
    <n v="1097338"/>
    <n v="991144"/>
    <n v="690261"/>
  </r>
  <r>
    <s v="Andhra Pradesh"/>
    <x v="1"/>
    <s v="Samsung Galaxy Tab 620"/>
    <s v="Sales"/>
    <n v="2278914"/>
    <n v="609477"/>
    <n v="1377948"/>
    <n v="264990"/>
    <n v="1775433"/>
  </r>
  <r>
    <s v="Andhra Pradesh"/>
    <x v="1"/>
    <s v="Samsung Wave III S8600"/>
    <s v="Sales"/>
    <n v="1389280"/>
    <n v="1498960"/>
    <n v="1553800"/>
    <n v="1590360"/>
    <n v="712920"/>
  </r>
  <r>
    <s v="Andhra Pradesh"/>
    <x v="1"/>
    <s v="Samsung Wave Y S5380"/>
    <s v="Sales"/>
    <n v="299880"/>
    <n v="214200"/>
    <n v="207060"/>
    <n v="499800"/>
    <n v="271320"/>
  </r>
  <r>
    <s v="Andhra Pradesh"/>
    <x v="1"/>
    <s v="Samsung Galaxy Tab 730"/>
    <s v="Sales"/>
    <n v="1718820"/>
    <n v="1527840"/>
    <n v="2928360"/>
    <n v="954900"/>
    <n v="2514570"/>
  </r>
  <r>
    <s v="Andhra Pradesh"/>
    <x v="1"/>
    <s v="Samsung Galaxy Note GT-N7000"/>
    <s v="Sales"/>
    <n v="915600"/>
    <n v="2223600"/>
    <n v="523200"/>
    <n v="2452500"/>
    <n v="3237300"/>
  </r>
  <r>
    <s v="Andhra Pradesh"/>
    <x v="1"/>
    <s v="Samsung Galaxy R I9103"/>
    <s v="Sales"/>
    <n v="1529350"/>
    <n v="1634100"/>
    <n v="1550300"/>
    <n v="1361750"/>
    <n v="460900"/>
  </r>
  <r>
    <s v="Andhra Pradesh"/>
    <x v="1"/>
    <s v="Samsung Galaxy S Plus I9001"/>
    <s v="Sales"/>
    <n v="1932128"/>
    <n v="570856"/>
    <n v="2107776"/>
    <n v="2173644"/>
    <n v="417164"/>
  </r>
  <r>
    <s v="Andhra Pradesh"/>
    <x v="1"/>
    <s v="Samsung Galaxy Y S5360"/>
    <s v="Sales"/>
    <n v="232190"/>
    <n v="299600"/>
    <n v="501830"/>
    <n v="666610"/>
    <n v="322070"/>
  </r>
  <r>
    <s v="Andhra Pradesh"/>
    <x v="1"/>
    <s v="Samsung Galaxy S II"/>
    <s v="Sales"/>
    <n v="522750"/>
    <n v="1014750"/>
    <n v="2644500"/>
    <n v="2798250"/>
    <n v="399750"/>
  </r>
  <r>
    <s v="Andhra Pradesh"/>
    <x v="2"/>
    <s v="Sony Ericsson Live WT19i"/>
    <s v="Sales"/>
    <n v="651900"/>
    <n v="135300"/>
    <n v="602700"/>
    <n v="319800"/>
    <n v="651900"/>
  </r>
  <r>
    <s v="Andhra Pradesh"/>
    <x v="2"/>
    <s v="Sony Ericsson Xperia Arc S"/>
    <s v="Sales"/>
    <n v="2268000"/>
    <n v="2408000"/>
    <n v="1568000"/>
    <n v="672000"/>
    <n v="1932000"/>
  </r>
  <r>
    <s v="Andhra Pradesh"/>
    <x v="2"/>
    <s v="Sony Ericsson Xperia Pro"/>
    <s v="Sales"/>
    <n v="500750"/>
    <n v="741110"/>
    <n v="1321980"/>
    <n v="1402100"/>
    <n v="640960"/>
  </r>
  <r>
    <s v="Andhra Pradesh"/>
    <x v="2"/>
    <s v="Sony Ericsson Xperia Active ST17i"/>
    <s v="Sales"/>
    <n v="1148400"/>
    <n v="1663200"/>
    <n v="732600"/>
    <n v="1683000"/>
    <n v="1267200"/>
  </r>
  <r>
    <s v="Andhra Pradesh"/>
    <x v="2"/>
    <s v="Sony Ericsson Xperia Neo V"/>
    <s v="Sales"/>
    <n v="1260000"/>
    <n v="432000"/>
    <n v="846000"/>
    <n v="450000"/>
    <n v="828000"/>
  </r>
  <r>
    <s v="Andhra Pradesh"/>
    <x v="2"/>
    <s v="Sony Ericsson Xperia Ray ST18i"/>
    <s v="Sales"/>
    <n v="1329240"/>
    <n v="1066890"/>
    <n v="979440"/>
    <n v="1644060"/>
    <n v="419760"/>
  </r>
  <r>
    <s v="Andhra Pradesh"/>
    <x v="2"/>
    <s v="Sony Ericsson Xperia Mini Pro SK17i"/>
    <s v="Sales"/>
    <n v="611160"/>
    <n v="347250"/>
    <n v="1083420"/>
    <n v="986190"/>
    <n v="1055640"/>
  </r>
  <r>
    <s v="Andhra Pradesh"/>
    <x v="2"/>
    <s v="Sony Ericsson Xperia Mini ST15i"/>
    <s v="Sales"/>
    <n v="818350"/>
    <n v="742810"/>
    <n v="1107920"/>
    <n v="805760"/>
    <n v="1082740"/>
  </r>
  <r>
    <s v="Andhra Pradesh"/>
    <x v="2"/>
    <s v="Sony Ericsson Fengli txt pro CK15i"/>
    <s v="Sales"/>
    <n v="527065"/>
    <n v="403855"/>
    <n v="554445"/>
    <n v="355940"/>
    <n v="540755"/>
  </r>
  <r>
    <s v="Andhra Pradesh"/>
    <x v="2"/>
    <s v="Sony Ericsson Xperia 32GB"/>
    <s v="Sales"/>
    <n v="420000"/>
    <n v="570000"/>
    <n v="660000"/>
    <n v="457500"/>
    <n v="705000"/>
  </r>
  <r>
    <s v="Andhra Pradesh"/>
    <x v="3"/>
    <s v="HTC Sensation XE"/>
    <s v="Sales"/>
    <n v="1034700"/>
    <n v="3104100"/>
    <n v="586330"/>
    <n v="1586540"/>
    <n v="2345320"/>
  </r>
  <r>
    <s v="Andhra Pradesh"/>
    <x v="3"/>
    <s v="HTC Rhyme (Sea Glass)"/>
    <s v="Sales"/>
    <n v="2127900"/>
    <n v="2465250"/>
    <n v="2387400"/>
    <n v="2024100"/>
    <n v="1894350"/>
  </r>
  <r>
    <s v="Andhra Pradesh"/>
    <x v="3"/>
    <s v="HTC Radar"/>
    <s v="Sales"/>
    <n v="1127530"/>
    <n v="1367430"/>
    <n v="911620"/>
    <n v="1319450"/>
    <n v="311870"/>
  </r>
  <r>
    <s v="Andhra Pradesh"/>
    <x v="3"/>
    <s v="HTC Explorer"/>
    <s v="Sales"/>
    <n v="197982"/>
    <n v="637942"/>
    <n v="758931"/>
    <n v="373966"/>
    <n v="538951"/>
  </r>
  <r>
    <s v="Andhra Pradesh"/>
    <x v="3"/>
    <s v="HTC Evo 3D"/>
    <s v="Sales"/>
    <n v="2520000"/>
    <n v="2310000"/>
    <n v="770000"/>
    <n v="3325000"/>
    <n v="2870000"/>
  </r>
  <r>
    <s v="Andhra Pradesh"/>
    <x v="3"/>
    <s v="HTC ChaCha"/>
    <s v="Sales"/>
    <n v="174986"/>
    <n v="274978"/>
    <n v="299976"/>
    <n v="587453"/>
    <n v="449964"/>
  </r>
  <r>
    <s v="Andhra Pradesh"/>
    <x v="3"/>
    <s v="HTC Sensation"/>
    <s v="Sales"/>
    <n v="917600"/>
    <n v="355200"/>
    <n v="1095200"/>
    <n v="2456800"/>
    <n v="1835200"/>
  </r>
  <r>
    <s v="Andhra Pradesh"/>
    <x v="3"/>
    <s v="HTC Wildfire S"/>
    <s v="Sales"/>
    <n v="494000"/>
    <n v="364000"/>
    <n v="1001000"/>
    <n v="585000"/>
    <n v="988000"/>
  </r>
  <r>
    <s v="Andhra Pradesh"/>
    <x v="3"/>
    <s v="HTC Incredible S"/>
    <s v="Sales"/>
    <n v="828960"/>
    <n v="653120"/>
    <n v="2135200"/>
    <n v="1281120"/>
    <n v="1507200"/>
  </r>
  <r>
    <s v="Andhra Pradesh"/>
    <x v="3"/>
    <s v="HTC Desire S"/>
    <s v="Sales"/>
    <n v="1236843"/>
    <n v="2039706"/>
    <n v="650970"/>
    <n v="1215144"/>
    <n v="1801017"/>
  </r>
  <r>
    <s v="Andhra Pradesh"/>
    <x v="4"/>
    <s v="LG Optimus Sol E730"/>
    <s v="Sales"/>
    <n v="1512110"/>
    <n v="1291240"/>
    <n v="322810"/>
    <n v="237860"/>
    <n v="900470"/>
  </r>
  <r>
    <s v="Andhra Pradesh"/>
    <x v="4"/>
    <s v="LG Optimus Net Dual P698"/>
    <s v="Sales"/>
    <n v="860918"/>
    <n v="304471"/>
    <n v="808423"/>
    <n v="335968"/>
    <n v="241477"/>
  </r>
  <r>
    <s v="Andhra Pradesh"/>
    <x v="4"/>
    <s v="LG Optimus 3D P920"/>
    <s v="Sales"/>
    <n v="2385800"/>
    <n v="966400"/>
    <n v="2657600"/>
    <n v="2657600"/>
    <n v="996600"/>
  </r>
  <r>
    <s v="Andhra Pradesh"/>
    <x v="4"/>
    <s v="LG Optimus NET P690"/>
    <s v="Sales"/>
    <n v="629937"/>
    <n v="99990"/>
    <n v="389961"/>
    <n v="889911"/>
    <n v="989901"/>
  </r>
  <r>
    <s v="Andhra Pradesh"/>
    <x v="4"/>
    <s v="LG Optimus Pro C660"/>
    <s v="Sales"/>
    <n v="470351"/>
    <n v="815915"/>
    <n v="163183"/>
    <n v="892707"/>
    <n v="911905"/>
  </r>
  <r>
    <s v="Andhra Pradesh"/>
    <x v="4"/>
    <s v="LG Optimus Black P970"/>
    <s v="Sales"/>
    <n v="911952"/>
    <n v="284985"/>
    <n v="1215936"/>
    <n v="227988"/>
    <n v="1804905"/>
  </r>
  <r>
    <s v="Andhra Pradesh"/>
    <x v="4"/>
    <s v="LG Optimus 2X"/>
    <s v="Sales"/>
    <n v="1759912"/>
    <n v="239988"/>
    <n v="999950"/>
    <n v="1819909"/>
    <n v="559972"/>
  </r>
  <r>
    <s v="Andhra Pradesh"/>
    <x v="4"/>
    <s v="LG Optimus One P500"/>
    <s v="Sales"/>
    <n v="375600"/>
    <n v="328650"/>
    <n v="619740"/>
    <n v="816930"/>
    <n v="929610"/>
  </r>
  <r>
    <s v="Andhra Pradesh"/>
    <x v="4"/>
    <s v="LG Optimus 5X"/>
    <s v="Sales"/>
    <n v="1323000"/>
    <n v="1617000"/>
    <n v="1995000"/>
    <n v="840000"/>
    <n v="1554000"/>
  </r>
  <r>
    <s v="Andhra Pradesh"/>
    <x v="4"/>
    <s v="LG Optimus 12X"/>
    <s v="Sales"/>
    <n v="650000"/>
    <n v="2475000"/>
    <n v="975000"/>
    <n v="675000"/>
    <n v="1525000"/>
  </r>
  <r>
    <s v="Andhra Pradesh"/>
    <x v="5"/>
    <s v="Motorola Razr XT910"/>
    <s v="Sales"/>
    <n v="767976"/>
    <n v="1823943"/>
    <n v="1215962"/>
    <n v="1439955"/>
    <n v="2015937"/>
  </r>
  <r>
    <s v="Andhra Pradesh"/>
    <x v="5"/>
    <s v="Motorola Defy+"/>
    <s v="Sales"/>
    <n v="543477"/>
    <n v="576415"/>
    <n v="395256"/>
    <n v="1515148"/>
    <n v="790512"/>
  </r>
  <r>
    <s v="Andhra Pradesh"/>
    <x v="5"/>
    <s v="Motorola Fire XT530"/>
    <s v="Sales"/>
    <n v="188432"/>
    <n v="565296"/>
    <n v="871498"/>
    <n v="753728"/>
    <n v="577073"/>
  </r>
  <r>
    <s v="Andhra Pradesh"/>
    <x v="5"/>
    <s v="Motorola Brea EX119"/>
    <s v="Sales"/>
    <n v="169568"/>
    <n v="148372"/>
    <n v="148372"/>
    <n v="259651"/>
    <n v="445116"/>
  </r>
  <r>
    <s v="Andhra Pradesh"/>
    <x v="5"/>
    <s v="Motorola Fire"/>
    <s v="Sales"/>
    <n v="623000"/>
    <n v="703100"/>
    <n v="640800"/>
    <n v="133500"/>
    <n v="115700"/>
  </r>
  <r>
    <s v="Andhra Pradesh"/>
    <x v="5"/>
    <s v="Motorola Xoom 32GB (Wi-Fi) Tablet"/>
    <s v="Sales"/>
    <n v="736692"/>
    <n v="602748"/>
    <n v="1942188"/>
    <n v="267888"/>
    <n v="736692"/>
  </r>
  <r>
    <s v="Andhra Pradesh"/>
    <x v="5"/>
    <s v="Motorola Xoom 32GB (Wi-Fi+3G) Tablet"/>
    <s v="Sales"/>
    <n v="1923260"/>
    <n v="2235140"/>
    <n v="1559400"/>
    <n v="1299500"/>
    <n v="2105190"/>
  </r>
  <r>
    <s v="Andhra Pradesh"/>
    <x v="5"/>
    <s v="Motorola Milestone 4GB"/>
    <s v="Sales"/>
    <n v="1620000"/>
    <n v="780000"/>
    <n v="1400000"/>
    <n v="460000"/>
    <n v="600000"/>
  </r>
  <r>
    <s v="Andhra Pradesh"/>
    <x v="5"/>
    <s v="Motorola Milestone 16GB"/>
    <s v="Sales"/>
    <n v="1197000"/>
    <n v="210000"/>
    <n v="441000"/>
    <n v="1197000"/>
    <n v="630000"/>
  </r>
  <r>
    <s v="Andhra Pradesh"/>
    <x v="5"/>
    <s v="Motorola Milestone 32GB"/>
    <s v="Sales"/>
    <n v="1760000"/>
    <n v="726000"/>
    <n v="1474000"/>
    <n v="1056000"/>
    <n v="286000"/>
  </r>
  <r>
    <s v="Andhra Pradesh"/>
    <x v="6"/>
    <s v="Blackberry Bold 9790"/>
    <s v="Sales"/>
    <n v="2380500"/>
    <n v="2565650"/>
    <n v="1639900"/>
    <n v="2301150"/>
    <n v="1454750"/>
  </r>
  <r>
    <s v="Andhra Pradesh"/>
    <x v="6"/>
    <s v="Blackberry Curve 9380"/>
    <s v="Sales"/>
    <n v="1843998"/>
    <n v="902382"/>
    <n v="843531"/>
    <n v="451191"/>
    <n v="1745913"/>
  </r>
  <r>
    <s v="Andhra Pradesh"/>
    <x v="6"/>
    <s v="Blackberry Torch 9860"/>
    <s v="Sales"/>
    <n v="1893540"/>
    <n v="1721400"/>
    <n v="1348430"/>
    <n v="659870"/>
    <n v="1778780"/>
  </r>
  <r>
    <s v="Andhra Pradesh"/>
    <x v="6"/>
    <s v="Blackberry Curve 9360"/>
    <s v="Sales"/>
    <n v="493740"/>
    <n v="1766070"/>
    <n v="1006470"/>
    <n v="189900"/>
    <n v="1405260"/>
  </r>
  <r>
    <s v="Andhra Pradesh"/>
    <x v="6"/>
    <s v="Blackberry Torch 9810"/>
    <s v="Sales"/>
    <n v="686620"/>
    <n v="967510"/>
    <n v="1966230"/>
    <n v="842670"/>
    <n v="3089790"/>
  </r>
  <r>
    <s v="Andhra Pradesh"/>
    <x v="6"/>
    <s v="Blackberry Bold 4 9900"/>
    <s v="Sales"/>
    <n v="700560"/>
    <n v="2535360"/>
    <n v="2034960"/>
    <n v="834000"/>
    <n v="633840"/>
  </r>
  <r>
    <s v="Andhra Pradesh"/>
    <x v="6"/>
    <s v="Blackberry Playbook 64GB Wi-Fi Tablet"/>
    <s v="Sales"/>
    <n v="319984"/>
    <n v="719964"/>
    <n v="659967"/>
    <n v="1079946"/>
    <n v="559972"/>
  </r>
  <r>
    <s v="Andhra Pradesh"/>
    <x v="6"/>
    <s v="Blackberry Playbook 32GB Wi-Fi Tablet"/>
    <s v="Sales"/>
    <n v="988400"/>
    <n v="335350"/>
    <n v="441250"/>
    <n v="564800"/>
    <n v="1376700"/>
  </r>
  <r>
    <s v="Andhra Pradesh"/>
    <x v="6"/>
    <s v="Blackberry Playbook 16GB Wi-Fi Tablet"/>
    <s v="Sales"/>
    <n v="577600"/>
    <n v="1489600"/>
    <n v="1261600"/>
    <n v="425600"/>
    <n v="456000"/>
  </r>
  <r>
    <s v="Andhra Pradesh"/>
    <x v="6"/>
    <s v="Blackberry Bold 9780"/>
    <s v="Sales"/>
    <n v="1606500"/>
    <n v="1721250"/>
    <n v="2042550"/>
    <n v="1491750"/>
    <n v="619650"/>
  </r>
  <r>
    <s v="Andhra Pradesh"/>
    <x v="7"/>
    <s v="Apple iPhone 4S 64GB"/>
    <s v="Sales"/>
    <n v="1380000"/>
    <n v="3450000"/>
    <n v="2012500"/>
    <n v="4945000"/>
    <n v="2875000"/>
  </r>
  <r>
    <s v="Andhra Pradesh"/>
    <x v="7"/>
    <s v="Apple iPhone 4S 32GB"/>
    <s v="Sales"/>
    <n v="3054000"/>
    <n v="2086900"/>
    <n v="2188700"/>
    <n v="4122900"/>
    <n v="4377400"/>
  </r>
  <r>
    <s v="Andhra Pradesh"/>
    <x v="7"/>
    <s v="Apple iPhone 4S 16GB"/>
    <s v="Sales"/>
    <n v="4450000"/>
    <n v="1913500"/>
    <n v="1023500"/>
    <n v="4227500"/>
    <n v="2136000"/>
  </r>
  <r>
    <s v="Andhra Pradesh"/>
    <x v="7"/>
    <s v="Apple iPhone 4 8GB"/>
    <s v="Sales"/>
    <n v="1970800"/>
    <n v="720100"/>
    <n v="3183600"/>
    <n v="2501400"/>
    <n v="1364400"/>
  </r>
  <r>
    <s v="Andhra Pradesh"/>
    <x v="7"/>
    <s v="Apple iPad 2 16GB (Wi-Fi) Tablet"/>
    <s v="Sales"/>
    <n v="295000"/>
    <n v="2448500"/>
    <n v="1917500"/>
    <n v="324500"/>
    <n v="1209500"/>
  </r>
  <r>
    <s v="Andhra Pradesh"/>
    <x v="7"/>
    <s v="Apple iPad 2 32GB (Wi-Fi) Tablet"/>
    <s v="Sales"/>
    <n v="1449000"/>
    <n v="1173000"/>
    <n v="793500"/>
    <n v="3277500"/>
    <n v="2553000"/>
  </r>
  <r>
    <s v="Andhra Pradesh"/>
    <x v="7"/>
    <s v="Apple iPad 2 64GB (Wi-Fi) Tablet"/>
    <s v="Sales"/>
    <n v="1975000"/>
    <n v="1580000"/>
    <n v="2804500"/>
    <n v="3002000"/>
    <n v="3634000"/>
  </r>
  <r>
    <s v="Andhra Pradesh"/>
    <x v="7"/>
    <s v="Apple iPad 2 16GB (Wi-Fi+3G) Tablet"/>
    <s v="Sales"/>
    <n v="2583000"/>
    <n v="1549800"/>
    <n v="1180800"/>
    <n v="1992600"/>
    <n v="1291500"/>
  </r>
  <r>
    <s v="Andhra Pradesh"/>
    <x v="7"/>
    <s v="Apple iPad 2 32GB (Wi-Fi+3G) Tablet"/>
    <s v="Sales"/>
    <n v="2933000"/>
    <n v="1717900"/>
    <n v="4148100"/>
    <n v="2891100"/>
    <n v="1550300"/>
  </r>
  <r>
    <s v="Andhra Pradesh"/>
    <x v="7"/>
    <s v="Apple iPad 2 64GB (Wi-Fi+3G) Tablet"/>
    <s v="Sales"/>
    <n v="1782200"/>
    <n v="3939600"/>
    <n v="3189200"/>
    <n v="4080300"/>
    <n v="469000"/>
  </r>
  <r>
    <s v="Goa"/>
    <x v="0"/>
    <s v="Nokia Lumia 800"/>
    <s v="Sales"/>
    <n v="689977"/>
    <n v="1409953"/>
    <n v="2009933"/>
    <n v="2789907"/>
    <n v="1079964"/>
  </r>
  <r>
    <s v="Goa"/>
    <x v="0"/>
    <s v="Nokia Lumia 710"/>
    <s v="Sales"/>
    <n v="1287318"/>
    <n v="1507104"/>
    <n v="1334415"/>
    <n v="251184"/>
    <n v="361077"/>
  </r>
  <r>
    <s v="Goa"/>
    <x v="0"/>
    <s v="Nokia 603"/>
    <s v="Sales"/>
    <n v="867600"/>
    <n v="636240"/>
    <n v="1272480"/>
    <n v="780840"/>
    <n v="202440"/>
  </r>
  <r>
    <s v="Goa"/>
    <x v="0"/>
    <s v="Nokia 701"/>
    <s v="Sales"/>
    <n v="1699900"/>
    <n v="1461914"/>
    <n v="1461914"/>
    <n v="900947"/>
    <n v="237986"/>
  </r>
  <r>
    <s v="Goa"/>
    <x v="0"/>
    <s v="Nokia 500 Fate"/>
    <s v="Sales"/>
    <n v="485775"/>
    <n v="228600"/>
    <n v="628650"/>
    <n v="733425"/>
    <n v="323850"/>
  </r>
  <r>
    <s v="Goa"/>
    <x v="0"/>
    <s v="Nokia E6"/>
    <s v="Sales"/>
    <n v="1043100"/>
    <n v="649800"/>
    <n v="1539000"/>
    <n v="615600"/>
    <n v="1402200"/>
  </r>
  <r>
    <s v="Goa"/>
    <x v="0"/>
    <s v="Nokia X7"/>
    <s v="Sales"/>
    <n v="916030"/>
    <n v="721130"/>
    <n v="682150"/>
    <n v="1734610"/>
    <n v="311840"/>
  </r>
  <r>
    <s v="Goa"/>
    <x v="0"/>
    <s v="Nokia E7"/>
    <s v="Sales"/>
    <n v="1838440"/>
    <n v="1233690"/>
    <n v="798270"/>
    <n v="1499780"/>
    <n v="1015980"/>
  </r>
  <r>
    <s v="Goa"/>
    <x v="0"/>
    <s v="Nokia C3-01"/>
    <s v="Sales"/>
    <n v="359550"/>
    <n v="279650"/>
    <n v="255680"/>
    <n v="351560"/>
    <n v="383520"/>
  </r>
  <r>
    <s v="Goa"/>
    <x v="0"/>
    <s v="Nokia E5"/>
    <s v="Sales"/>
    <n v="736290"/>
    <n v="172710"/>
    <n v="890820"/>
    <n v="418140"/>
    <n v="181800"/>
  </r>
  <r>
    <s v="Goa"/>
    <x v="1"/>
    <s v="Samsung Omnia W I8350"/>
    <s v="Sales"/>
    <n v="283184"/>
    <n v="1168134"/>
    <n v="1592910"/>
    <n v="1079639"/>
    <n v="1132736"/>
  </r>
  <r>
    <s v="Goa"/>
    <x v="1"/>
    <s v="Samsung Galaxy Tab 620"/>
    <s v="Sales"/>
    <n v="2093421"/>
    <n v="741972"/>
    <n v="1695936"/>
    <n v="2490906"/>
    <n v="768471"/>
  </r>
  <r>
    <s v="Goa"/>
    <x v="1"/>
    <s v="Samsung Wave III S8600"/>
    <s v="Sales"/>
    <n v="1444120"/>
    <n v="1809720"/>
    <n v="1809720"/>
    <n v="914000"/>
    <n v="1645200"/>
  </r>
  <r>
    <s v="Goa"/>
    <x v="1"/>
    <s v="Samsung Wave Y S5380"/>
    <s v="Sales"/>
    <n v="114240"/>
    <n v="549780"/>
    <n v="307020"/>
    <n v="321300"/>
    <n v="271320"/>
  </r>
  <r>
    <s v="Goa"/>
    <x v="1"/>
    <s v="Samsung Galaxy Tab 730"/>
    <s v="Sales"/>
    <n v="509280"/>
    <n v="2291760"/>
    <n v="1496010"/>
    <n v="2928360"/>
    <n v="381960"/>
  </r>
  <r>
    <s v="Goa"/>
    <x v="1"/>
    <s v="Samsung Galaxy Note GT-N7000"/>
    <s v="Sales"/>
    <n v="1536900"/>
    <n v="2125500"/>
    <n v="2812200"/>
    <n v="3171900"/>
    <n v="555900"/>
  </r>
  <r>
    <s v="Goa"/>
    <x v="1"/>
    <s v="Samsung Galaxy R I9103"/>
    <s v="Sales"/>
    <n v="1110350"/>
    <n v="1445550"/>
    <n v="1738850"/>
    <n v="1613150"/>
    <n v="754200"/>
  </r>
  <r>
    <s v="Goa"/>
    <x v="1"/>
    <s v="Samsung Galaxy S Plus I9001"/>
    <s v="Sales"/>
    <n v="1097800"/>
    <n v="1383228"/>
    <n v="636724"/>
    <n v="966064"/>
    <n v="1844304"/>
  </r>
  <r>
    <s v="Goa"/>
    <x v="1"/>
    <s v="Samsung Galaxy Y S5360"/>
    <s v="Sales"/>
    <n v="741510"/>
    <n v="434420"/>
    <n v="239680"/>
    <n v="202230"/>
    <n v="97370"/>
  </r>
  <r>
    <s v="Goa"/>
    <x v="1"/>
    <s v="Samsung Galaxy S II"/>
    <s v="Sales"/>
    <n v="1322250"/>
    <n v="2706000"/>
    <n v="768750"/>
    <n v="1045500"/>
    <n v="738000"/>
  </r>
  <r>
    <s v="Goa"/>
    <x v="2"/>
    <s v="Sony Ericsson Live WT19i"/>
    <s v="Sales"/>
    <n v="246000"/>
    <n v="369000"/>
    <n v="270600"/>
    <n v="934800"/>
    <n v="319800"/>
  </r>
  <r>
    <s v="Goa"/>
    <x v="2"/>
    <s v="Sony Ericsson Xperia Arc S"/>
    <s v="Sales"/>
    <n v="1344000"/>
    <n v="2184000"/>
    <n v="1624000"/>
    <n v="2632000"/>
    <n v="2464000"/>
  </r>
  <r>
    <s v="Goa"/>
    <x v="2"/>
    <s v="Sony Ericsson Xperia Pro"/>
    <s v="Sales"/>
    <n v="1141710"/>
    <n v="400600"/>
    <n v="1842760"/>
    <n v="1061590"/>
    <n v="380570"/>
  </r>
  <r>
    <s v="Goa"/>
    <x v="2"/>
    <s v="Sony Ericsson Xperia Active ST17i"/>
    <s v="Sales"/>
    <n v="396000"/>
    <n v="1702800"/>
    <n v="336600"/>
    <n v="455400"/>
    <n v="613800"/>
  </r>
  <r>
    <s v="Goa"/>
    <x v="2"/>
    <s v="Sony Ericsson Xperia Neo V"/>
    <s v="Sales"/>
    <n v="1350000"/>
    <n v="180000"/>
    <n v="792000"/>
    <n v="1530000"/>
    <n v="1494000"/>
  </r>
  <r>
    <s v="Goa"/>
    <x v="2"/>
    <s v="Sony Ericsson Xperia Ray ST18i"/>
    <s v="Sales"/>
    <n v="1486650"/>
    <n v="1241790"/>
    <n v="262350"/>
    <n v="1469160"/>
    <n v="1626570"/>
  </r>
  <r>
    <s v="Goa"/>
    <x v="2"/>
    <s v="Sony Ericsson Xperia Mini Pro SK17i"/>
    <s v="Sales"/>
    <n v="375030"/>
    <n v="166680"/>
    <n v="527820"/>
    <n v="722280"/>
    <n v="152790"/>
  </r>
  <r>
    <s v="Goa"/>
    <x v="2"/>
    <s v="Sony Ericsson Xperia Mini ST15i"/>
    <s v="Sales"/>
    <n v="1259000"/>
    <n v="415470"/>
    <n v="1095330"/>
    <n v="239210"/>
    <n v="830940"/>
  </r>
  <r>
    <s v="Goa"/>
    <x v="2"/>
    <s v="Sony Ericsson Fengli txt pro CK15i"/>
    <s v="Sales"/>
    <n v="294335"/>
    <n v="184815"/>
    <n v="273800"/>
    <n v="650275"/>
    <n v="588670"/>
  </r>
  <r>
    <s v="Goa"/>
    <x v="2"/>
    <s v="Sony Ericsson Xperia 32GB"/>
    <s v="Sales"/>
    <n v="600000"/>
    <n v="360000"/>
    <n v="412500"/>
    <n v="750000"/>
    <n v="532500"/>
  </r>
  <r>
    <s v="Goa"/>
    <x v="3"/>
    <s v="HTC Sensation XE"/>
    <s v="Sales"/>
    <n v="1517560"/>
    <n v="2379810"/>
    <n v="551840"/>
    <n v="620820"/>
    <n v="3104100"/>
  </r>
  <r>
    <s v="Goa"/>
    <x v="3"/>
    <s v="HTC Rhyme (Sea Glass)"/>
    <s v="Sales"/>
    <n v="1038000"/>
    <n v="986100"/>
    <n v="363300"/>
    <n v="1686750"/>
    <n v="1790550"/>
  </r>
  <r>
    <s v="Goa"/>
    <x v="3"/>
    <s v="HTC Radar"/>
    <s v="Sales"/>
    <n v="1439400"/>
    <n v="2135110"/>
    <n v="1103540"/>
    <n v="1871220"/>
    <n v="263890"/>
  </r>
  <r>
    <s v="Goa"/>
    <x v="3"/>
    <s v="HTC Explorer"/>
    <s v="Sales"/>
    <n v="1066903"/>
    <n v="219980"/>
    <n v="329970"/>
    <n v="604945"/>
    <n v="615944"/>
  </r>
  <r>
    <s v="Goa"/>
    <x v="3"/>
    <s v="HTC Evo 3D"/>
    <s v="Sales"/>
    <n v="560000"/>
    <n v="3465000"/>
    <n v="1540000"/>
    <n v="1610000"/>
    <n v="2065000"/>
  </r>
  <r>
    <s v="Goa"/>
    <x v="3"/>
    <s v="HTC ChaCha"/>
    <s v="Sales"/>
    <n v="687445"/>
    <n v="1099912"/>
    <n v="824934"/>
    <n v="462463"/>
    <n v="824934"/>
  </r>
  <r>
    <s v="Goa"/>
    <x v="3"/>
    <s v="HTC Sensation"/>
    <s v="Sales"/>
    <n v="592000"/>
    <n v="2101600"/>
    <n v="296000"/>
    <n v="621600"/>
    <n v="1302400"/>
  </r>
  <r>
    <s v="Goa"/>
    <x v="3"/>
    <s v="HTC Wildfire S"/>
    <s v="Sales"/>
    <n v="611000"/>
    <n v="741000"/>
    <n v="559000"/>
    <n v="1274000"/>
    <n v="663000"/>
  </r>
  <r>
    <s v="Goa"/>
    <x v="3"/>
    <s v="HTC Incredible S"/>
    <s v="Sales"/>
    <n v="1055040"/>
    <n v="552640"/>
    <n v="2386400"/>
    <n v="1331360"/>
    <n v="2084960"/>
  </r>
  <r>
    <s v="Goa"/>
    <x v="3"/>
    <s v="HTC Desire S"/>
    <s v="Sales"/>
    <n v="433980"/>
    <n v="2083104"/>
    <n v="216990"/>
    <n v="1106649"/>
    <n v="1323639"/>
  </r>
  <r>
    <s v="Goa"/>
    <x v="4"/>
    <s v="LG Optimus Sol E730"/>
    <s v="Sales"/>
    <n v="373780"/>
    <n v="543680"/>
    <n v="475720"/>
    <n v="747560"/>
    <n v="339800"/>
  </r>
  <r>
    <s v="Goa"/>
    <x v="4"/>
    <s v="LG Optimus Net Dual P698"/>
    <s v="Sales"/>
    <n v="535449"/>
    <n v="671936"/>
    <n v="272974"/>
    <n v="104990"/>
    <n v="587944"/>
  </r>
  <r>
    <s v="Goa"/>
    <x v="4"/>
    <s v="LG Optimus 3D P920"/>
    <s v="Sales"/>
    <n v="483200"/>
    <n v="1117400"/>
    <n v="2053600"/>
    <n v="845600"/>
    <n v="1751600"/>
  </r>
  <r>
    <s v="Goa"/>
    <x v="4"/>
    <s v="LG Optimus NET P690"/>
    <s v="Sales"/>
    <n v="109989"/>
    <n v="919908"/>
    <n v="589941"/>
    <n v="529947"/>
    <n v="119988"/>
  </r>
  <r>
    <s v="Goa"/>
    <x v="4"/>
    <s v="LG Optimus Pro C660"/>
    <s v="Sales"/>
    <n v="518346"/>
    <n v="825514"/>
    <n v="316767"/>
    <n v="556742"/>
    <n v="892707"/>
  </r>
  <r>
    <s v="Goa"/>
    <x v="4"/>
    <s v="LG Optimus Black P970"/>
    <s v="Sales"/>
    <n v="303984"/>
    <n v="854955"/>
    <n v="493974"/>
    <n v="721962"/>
    <n v="284985"/>
  </r>
  <r>
    <s v="Goa"/>
    <x v="4"/>
    <s v="LG Optimus 2X"/>
    <s v="Sales"/>
    <n v="1699915"/>
    <n v="1199940"/>
    <n v="879956"/>
    <n v="879956"/>
    <n v="1699915"/>
  </r>
  <r>
    <s v="Goa"/>
    <x v="4"/>
    <s v="LG Optimus One P500"/>
    <s v="Sales"/>
    <n v="619740"/>
    <n v="826320"/>
    <n v="291090"/>
    <n v="338040"/>
    <n v="638520"/>
  </r>
  <r>
    <s v="Goa"/>
    <x v="4"/>
    <s v="LG Optimus 5X"/>
    <s v="Sales"/>
    <n v="693000"/>
    <n v="924000"/>
    <n v="1260000"/>
    <n v="2016000"/>
    <n v="1554000"/>
  </r>
  <r>
    <s v="Goa"/>
    <x v="4"/>
    <s v="LG Optimus 12X"/>
    <s v="Sales"/>
    <n v="825000"/>
    <n v="800000"/>
    <n v="250000"/>
    <n v="350000"/>
    <n v="1400000"/>
  </r>
  <r>
    <s v="Goa"/>
    <x v="5"/>
    <s v="Motorola Razr XT910"/>
    <s v="Sales"/>
    <n v="2431924"/>
    <n v="3071904"/>
    <n v="1215962"/>
    <n v="2303928"/>
    <n v="2975907"/>
  </r>
  <r>
    <s v="Goa"/>
    <x v="5"/>
    <s v="Motorola Defy+"/>
    <s v="Sales"/>
    <n v="1613962"/>
    <n v="691698"/>
    <n v="1317520"/>
    <n v="675229"/>
    <n v="625822"/>
  </r>
  <r>
    <s v="Goa"/>
    <x v="5"/>
    <s v="Motorola Fire XT530"/>
    <s v="Sales"/>
    <n v="918606"/>
    <n v="412195"/>
    <n v="200209"/>
    <n v="1118815"/>
    <n v="812613"/>
  </r>
  <r>
    <s v="Goa"/>
    <x v="5"/>
    <s v="Motorola Brea EX119"/>
    <s v="Sales"/>
    <n v="254352"/>
    <n v="58289"/>
    <n v="280847"/>
    <n v="482209"/>
    <n v="524601"/>
  </r>
  <r>
    <s v="Goa"/>
    <x v="5"/>
    <s v="Motorola Fire"/>
    <s v="Sales"/>
    <n v="311500"/>
    <n v="258100"/>
    <n v="747600"/>
    <n v="498400"/>
    <n v="356000"/>
  </r>
  <r>
    <s v="Goa"/>
    <x v="5"/>
    <s v="Motorola Xoom 32GB (Wi-Fi) Tablet"/>
    <s v="Sales"/>
    <n v="580424"/>
    <n v="1518032"/>
    <n v="558100"/>
    <n v="1138524"/>
    <n v="357184"/>
  </r>
  <r>
    <s v="Goa"/>
    <x v="5"/>
    <s v="Motorola Xoom 32GB (Wi-Fi+3G) Tablet"/>
    <s v="Sales"/>
    <n v="2287120"/>
    <n v="1247520"/>
    <n v="2417070"/>
    <n v="467820"/>
    <n v="1351480"/>
  </r>
  <r>
    <s v="Goa"/>
    <x v="5"/>
    <s v="Motorola Milestone 4GB"/>
    <s v="Sales"/>
    <n v="780000"/>
    <n v="1880000"/>
    <n v="760000"/>
    <n v="340000"/>
    <n v="1100000"/>
  </r>
  <r>
    <s v="Goa"/>
    <x v="5"/>
    <s v="Motorola Milestone 16GB"/>
    <s v="Sales"/>
    <n v="1659000"/>
    <n v="924000"/>
    <n v="924000"/>
    <n v="462000"/>
    <n v="546000"/>
  </r>
  <r>
    <s v="Goa"/>
    <x v="5"/>
    <s v="Motorola Milestone 32GB"/>
    <s v="Sales"/>
    <n v="2112000"/>
    <n v="1606000"/>
    <n v="1980000"/>
    <n v="990000"/>
    <n v="1320000"/>
  </r>
  <r>
    <s v="Goa"/>
    <x v="6"/>
    <s v="Blackberry Bold 9790"/>
    <s v="Sales"/>
    <n v="1639900"/>
    <n v="2406950"/>
    <n v="1216700"/>
    <n v="2089550"/>
    <n v="2168900"/>
  </r>
  <r>
    <s v="Goa"/>
    <x v="6"/>
    <s v="Blackberry Curve 9380"/>
    <s v="Sales"/>
    <n v="1608594"/>
    <n v="725829"/>
    <n v="1177020"/>
    <n v="1765530"/>
    <n v="1432041"/>
  </r>
  <r>
    <s v="Goa"/>
    <x v="6"/>
    <s v="Blackberry Torch 9860"/>
    <s v="Sales"/>
    <n v="1204980"/>
    <n v="602490"/>
    <n v="2610790"/>
    <n v="1061530"/>
    <n v="860700"/>
  </r>
  <r>
    <s v="Goa"/>
    <x v="6"/>
    <s v="Blackberry Curve 9360"/>
    <s v="Sales"/>
    <n v="1595160"/>
    <n v="1044450"/>
    <n v="1329300"/>
    <n v="1633140"/>
    <n v="1082430"/>
  </r>
  <r>
    <s v="Goa"/>
    <x v="6"/>
    <s v="Blackberry Torch 9810"/>
    <s v="Sales"/>
    <n v="1061140"/>
    <n v="2122280"/>
    <n v="1997440"/>
    <n v="2371960"/>
    <n v="717830"/>
  </r>
  <r>
    <s v="Goa"/>
    <x v="6"/>
    <s v="Blackberry Bold 4 9900"/>
    <s v="Sales"/>
    <n v="967440"/>
    <n v="1934880"/>
    <n v="2902320"/>
    <n v="500400"/>
    <n v="967440"/>
  </r>
  <r>
    <s v="Goa"/>
    <x v="6"/>
    <s v="Blackberry Playbook 64GB Wi-Fi Tablet"/>
    <s v="Sales"/>
    <n v="619969"/>
    <n v="859957"/>
    <n v="1159942"/>
    <n v="199990"/>
    <n v="579971"/>
  </r>
  <r>
    <s v="Goa"/>
    <x v="6"/>
    <s v="Blackberry Playbook 32GB Wi-Fi Tablet"/>
    <s v="Sales"/>
    <n v="1659100"/>
    <n v="1394350"/>
    <n v="1359050"/>
    <n v="617750"/>
    <n v="653050"/>
  </r>
  <r>
    <s v="Goa"/>
    <x v="6"/>
    <s v="Blackberry Playbook 16GB Wi-Fi Tablet"/>
    <s v="Sales"/>
    <n v="638400"/>
    <n v="1246400"/>
    <n v="1155200"/>
    <n v="668800"/>
    <n v="152000"/>
  </r>
  <r>
    <s v="Goa"/>
    <x v="6"/>
    <s v="Blackberry Bold 9780"/>
    <s v="Sales"/>
    <n v="504900"/>
    <n v="1468800"/>
    <n v="1836000"/>
    <n v="504900"/>
    <n v="2272050"/>
  </r>
  <r>
    <s v="Goa"/>
    <x v="7"/>
    <s v="Apple iPhone 4S 64GB"/>
    <s v="Sales"/>
    <n v="1782500"/>
    <n v="5347500"/>
    <n v="5232500"/>
    <n v="2702500"/>
    <n v="2530000"/>
  </r>
  <r>
    <s v="Goa"/>
    <x v="7"/>
    <s v="Apple iPhone 4S 32GB"/>
    <s v="Sales"/>
    <n v="2137800"/>
    <n v="1221600"/>
    <n v="4173800"/>
    <n v="2850400"/>
    <n v="1832400"/>
  </r>
  <r>
    <s v="Goa"/>
    <x v="7"/>
    <s v="Apple iPhone 4S 16GB"/>
    <s v="Sales"/>
    <n v="1824500"/>
    <n v="712000"/>
    <n v="1780000"/>
    <n v="3916000"/>
    <n v="4227500"/>
  </r>
  <r>
    <s v="Goa"/>
    <x v="7"/>
    <s v="Apple iPhone 4 8GB"/>
    <s v="Sales"/>
    <n v="1705500"/>
    <n v="3069900"/>
    <n v="2198200"/>
    <n v="985400"/>
    <n v="3676300"/>
  </r>
  <r>
    <s v="Goa"/>
    <x v="7"/>
    <s v="Apple iPad 2 16GB (Wi-Fi) Tablet"/>
    <s v="Sales"/>
    <n v="1888000"/>
    <n v="2684500"/>
    <n v="1032500"/>
    <n v="1711000"/>
    <n v="413000"/>
  </r>
  <r>
    <s v="Goa"/>
    <x v="7"/>
    <s v="Apple iPad 2 32GB (Wi-Fi) Tablet"/>
    <s v="Sales"/>
    <n v="3243000"/>
    <n v="2104500"/>
    <n v="1690500"/>
    <n v="1000500"/>
    <n v="3415500"/>
  </r>
  <r>
    <s v="Goa"/>
    <x v="7"/>
    <s v="Apple iPad 2 64GB (Wi-Fi) Tablet"/>
    <s v="Sales"/>
    <n v="829500"/>
    <n v="2607000"/>
    <n v="3515500"/>
    <n v="3871000"/>
    <n v="2488500"/>
  </r>
  <r>
    <s v="Goa"/>
    <x v="7"/>
    <s v="Apple iPad 2 16GB (Wi-Fi+3G) Tablet"/>
    <s v="Sales"/>
    <n v="885600"/>
    <n v="996300"/>
    <n v="811800"/>
    <n v="885600"/>
    <n v="2730600"/>
  </r>
  <r>
    <s v="Goa"/>
    <x v="7"/>
    <s v="Apple iPad 2 32GB (Wi-Fi+3G) Tablet"/>
    <s v="Sales"/>
    <n v="1508400"/>
    <n v="2346400"/>
    <n v="3938600"/>
    <n v="3100600"/>
    <n v="879900"/>
  </r>
  <r>
    <s v="Goa"/>
    <x v="7"/>
    <s v="Apple iPad 2 64GB (Wi-Fi+3G) Tablet"/>
    <s v="Sales"/>
    <n v="656600"/>
    <n v="750400"/>
    <n v="1735300"/>
    <n v="3798900"/>
    <n v="4314800"/>
  </r>
  <r>
    <s v="Karnataka"/>
    <x v="0"/>
    <s v="Nokia Lumia 800"/>
    <s v="Sales"/>
    <n v="389987"/>
    <n v="1499950"/>
    <n v="1349955"/>
    <n v="1679944"/>
    <n v="2609913"/>
  </r>
  <r>
    <s v="Karnataka"/>
    <x v="0"/>
    <s v="Nokia Lumia 710"/>
    <s v="Sales"/>
    <n v="1554201"/>
    <n v="204087"/>
    <n v="753552"/>
    <n v="329679"/>
    <n v="1098930"/>
  </r>
  <r>
    <s v="Karnataka"/>
    <x v="0"/>
    <s v="Nokia 603"/>
    <s v="Sales"/>
    <n v="1055580"/>
    <n v="1229100"/>
    <n v="1113420"/>
    <n v="1200180"/>
    <n v="1156800"/>
  </r>
  <r>
    <s v="Karnataka"/>
    <x v="0"/>
    <s v="Nokia 701"/>
    <s v="Sales"/>
    <n v="951944"/>
    <n v="1291924"/>
    <n v="458973"/>
    <n v="1121934"/>
    <n v="339980"/>
  </r>
  <r>
    <s v="Karnataka"/>
    <x v="0"/>
    <s v="Nokia 500 Fate"/>
    <s v="Sales"/>
    <n v="657225"/>
    <n v="323850"/>
    <n v="104775"/>
    <n v="457200"/>
    <n v="266700"/>
  </r>
  <r>
    <s v="Karnataka"/>
    <x v="0"/>
    <s v="Nokia E6"/>
    <s v="Sales"/>
    <n v="359100"/>
    <n v="513000"/>
    <n v="1504800"/>
    <n v="1299600"/>
    <n v="273600"/>
  </r>
  <r>
    <s v="Karnataka"/>
    <x v="0"/>
    <s v="Nokia X7"/>
    <s v="Sales"/>
    <n v="857560"/>
    <n v="916030"/>
    <n v="214390"/>
    <n v="194900"/>
    <n v="1247360"/>
  </r>
  <r>
    <s v="Karnataka"/>
    <x v="0"/>
    <s v="Nokia E7"/>
    <s v="Sales"/>
    <n v="241900"/>
    <n v="725700"/>
    <n v="1088550"/>
    <n v="2419000"/>
    <n v="1983580"/>
  </r>
  <r>
    <s v="Karnataka"/>
    <x v="0"/>
    <s v="Nokia C3-01"/>
    <s v="Sales"/>
    <n v="327590"/>
    <n v="671160"/>
    <n v="647190"/>
    <n v="511360"/>
    <n v="623220"/>
  </r>
  <r>
    <s v="Karnataka"/>
    <x v="0"/>
    <s v="Nokia E5"/>
    <s v="Sales"/>
    <n v="445410"/>
    <n v="627210"/>
    <n v="672660"/>
    <n v="199980"/>
    <n v="572670"/>
  </r>
  <r>
    <s v="Karnataka"/>
    <x v="1"/>
    <s v="Samsung Omnia W I8350"/>
    <s v="Sales"/>
    <n v="300883"/>
    <n v="796455"/>
    <n v="1469017"/>
    <n v="1061940"/>
    <n v="230087"/>
  </r>
  <r>
    <s v="Karnataka"/>
    <x v="1"/>
    <s v="Samsung Galaxy Tab 620"/>
    <s v="Sales"/>
    <n v="2517405"/>
    <n v="2543904"/>
    <n v="1828431"/>
    <n v="1695936"/>
    <n v="2437908"/>
  </r>
  <r>
    <s v="Karnataka"/>
    <x v="1"/>
    <s v="Samsung Wave III S8600"/>
    <s v="Sales"/>
    <n v="1517240"/>
    <n v="987120"/>
    <n v="621520"/>
    <n v="1718320"/>
    <n v="968840"/>
  </r>
  <r>
    <s v="Karnataka"/>
    <x v="1"/>
    <s v="Samsung Wave Y S5380"/>
    <s v="Sales"/>
    <n v="228480"/>
    <n v="364140"/>
    <n v="357000"/>
    <n v="178500"/>
    <n v="257040"/>
  </r>
  <r>
    <s v="Karnataka"/>
    <x v="1"/>
    <s v="Samsung Galaxy Tab 730"/>
    <s v="Sales"/>
    <n v="2323590"/>
    <n v="2355420"/>
    <n v="2673720"/>
    <n v="2291760"/>
    <n v="827580"/>
  </r>
  <r>
    <s v="Karnataka"/>
    <x v="1"/>
    <s v="Samsung Galaxy Note GT-N7000"/>
    <s v="Sales"/>
    <n v="3008400"/>
    <n v="2060100"/>
    <n v="2517900"/>
    <n v="981000"/>
    <n v="1013700"/>
  </r>
  <r>
    <s v="Karnataka"/>
    <x v="1"/>
    <s v="Samsung Galaxy R I9103"/>
    <s v="Sales"/>
    <n v="314250"/>
    <n v="1529350"/>
    <n v="858950"/>
    <n v="1047500"/>
    <n v="523750"/>
  </r>
  <r>
    <s v="Karnataka"/>
    <x v="1"/>
    <s v="Samsung Galaxy S Plus I9001"/>
    <s v="Sales"/>
    <n v="746504"/>
    <n v="878240"/>
    <n v="1471052"/>
    <n v="439120"/>
    <n v="548900"/>
  </r>
  <r>
    <s v="Karnataka"/>
    <x v="1"/>
    <s v="Samsung Galaxy Y S5360"/>
    <s v="Sales"/>
    <n v="164780"/>
    <n v="441910"/>
    <n v="704060"/>
    <n v="344540"/>
    <n v="254660"/>
  </r>
  <r>
    <s v="Karnataka"/>
    <x v="1"/>
    <s v="Samsung Galaxy S II"/>
    <s v="Sales"/>
    <n v="461250"/>
    <n v="953250"/>
    <n v="1076250"/>
    <n v="2214000"/>
    <n v="1014750"/>
  </r>
  <r>
    <s v="Karnataka"/>
    <x v="2"/>
    <s v="Sony Ericsson Live WT19i"/>
    <s v="Sales"/>
    <n v="504300"/>
    <n v="381300"/>
    <n v="356700"/>
    <n v="1082400"/>
    <n v="516600"/>
  </r>
  <r>
    <s v="Karnataka"/>
    <x v="2"/>
    <s v="Sony Ericsson Xperia Arc S"/>
    <s v="Sales"/>
    <n v="1372000"/>
    <n v="2772000"/>
    <n v="392000"/>
    <n v="2212000"/>
    <n v="952000"/>
  </r>
  <r>
    <s v="Karnataka"/>
    <x v="2"/>
    <s v="Sony Ericsson Xperia Pro"/>
    <s v="Sales"/>
    <n v="1081620"/>
    <n v="1141710"/>
    <n v="1622430"/>
    <n v="921380"/>
    <n v="300450"/>
  </r>
  <r>
    <s v="Karnataka"/>
    <x v="2"/>
    <s v="Sony Ericsson Xperia Active ST17i"/>
    <s v="Sales"/>
    <n v="217800"/>
    <n v="198000"/>
    <n v="811800"/>
    <n v="396000"/>
    <n v="455400"/>
  </r>
  <r>
    <s v="Karnataka"/>
    <x v="2"/>
    <s v="Sony Ericsson Xperia Neo V"/>
    <s v="Sales"/>
    <n v="378000"/>
    <n v="486000"/>
    <n v="432000"/>
    <n v="1116000"/>
    <n v="630000"/>
  </r>
  <r>
    <s v="Karnataka"/>
    <x v="2"/>
    <s v="Sony Ericsson Xperia Ray ST18i"/>
    <s v="Sales"/>
    <n v="1644060"/>
    <n v="1031910"/>
    <n v="1591590"/>
    <n v="1434180"/>
    <n v="1259280"/>
  </r>
  <r>
    <s v="Karnataka"/>
    <x v="2"/>
    <s v="Sony Ericsson Xperia Mini Pro SK17i"/>
    <s v="Sales"/>
    <n v="638940"/>
    <n v="402810"/>
    <n v="652830"/>
    <n v="1138980"/>
    <n v="944520"/>
  </r>
  <r>
    <s v="Karnataka"/>
    <x v="2"/>
    <s v="Sony Ericsson Xperia Mini ST15i"/>
    <s v="Sales"/>
    <n v="465830"/>
    <n v="214030"/>
    <n v="780580"/>
    <n v="654680"/>
    <n v="780580"/>
  </r>
  <r>
    <s v="Karnataka"/>
    <x v="2"/>
    <s v="Sony Ericsson Fengli txt pro CK15i"/>
    <s v="Sales"/>
    <n v="219040"/>
    <n v="75295"/>
    <n v="663965"/>
    <n v="130055"/>
    <n v="520220"/>
  </r>
  <r>
    <s v="Karnataka"/>
    <x v="2"/>
    <s v="Sony Ericsson Xperia 32GB"/>
    <s v="Sales"/>
    <n v="360000"/>
    <n v="592500"/>
    <n v="600000"/>
    <n v="172500"/>
    <n v="652500"/>
  </r>
  <r>
    <s v="Karnataka"/>
    <x v="3"/>
    <s v="HTC Sensation XE"/>
    <s v="Sales"/>
    <n v="827760"/>
    <n v="689800"/>
    <n v="2966140"/>
    <n v="1103680"/>
    <n v="1103680"/>
  </r>
  <r>
    <s v="Karnataka"/>
    <x v="3"/>
    <s v="HTC Rhyme (Sea Glass)"/>
    <s v="Sales"/>
    <n v="986100"/>
    <n v="1660800"/>
    <n v="960150"/>
    <n v="2179800"/>
    <n v="934200"/>
  </r>
  <r>
    <s v="Karnataka"/>
    <x v="3"/>
    <s v="HTC Radar"/>
    <s v="Sales"/>
    <n v="1607330"/>
    <n v="1487380"/>
    <n v="983590"/>
    <n v="1055560"/>
    <n v="1055560"/>
  </r>
  <r>
    <s v="Karnataka"/>
    <x v="3"/>
    <s v="HTC Explorer"/>
    <s v="Sales"/>
    <n v="175984"/>
    <n v="340969"/>
    <n v="1044905"/>
    <n v="340969"/>
    <n v="175984"/>
  </r>
  <r>
    <s v="Karnataka"/>
    <x v="3"/>
    <s v="HTC Evo 3D"/>
    <s v="Sales"/>
    <n v="2310000"/>
    <n v="3150000"/>
    <n v="2765000"/>
    <n v="770000"/>
    <n v="385000"/>
  </r>
  <r>
    <s v="Karnataka"/>
    <x v="3"/>
    <s v="HTC ChaCha"/>
    <s v="Sales"/>
    <n v="249980"/>
    <n v="924926"/>
    <n v="887429"/>
    <n v="412467"/>
    <n v="799936"/>
  </r>
  <r>
    <s v="Karnataka"/>
    <x v="3"/>
    <s v="HTC Sensation"/>
    <s v="Sales"/>
    <n v="1124800"/>
    <n v="1805600"/>
    <n v="1509600"/>
    <n v="1657600"/>
    <n v="1687200"/>
  </r>
  <r>
    <s v="Karnataka"/>
    <x v="3"/>
    <s v="HTC Wildfire S"/>
    <s v="Sales"/>
    <n v="403000"/>
    <n v="533000"/>
    <n v="1079000"/>
    <n v="637000"/>
    <n v="1157000"/>
  </r>
  <r>
    <s v="Karnataka"/>
    <x v="3"/>
    <s v="HTC Incredible S"/>
    <s v="Sales"/>
    <n v="1105280"/>
    <n v="502400"/>
    <n v="2486880"/>
    <n v="1507200"/>
    <n v="678240"/>
  </r>
  <r>
    <s v="Karnataka"/>
    <x v="3"/>
    <s v="HTC Desire S"/>
    <s v="Sales"/>
    <n v="238689"/>
    <n v="1996308"/>
    <n v="1019853"/>
    <n v="1215144"/>
    <n v="1388736"/>
  </r>
  <r>
    <s v="Karnataka"/>
    <x v="4"/>
    <s v="LG Optimus Sol E730"/>
    <s v="Sales"/>
    <n v="1648030"/>
    <n v="560670"/>
    <n v="1699000"/>
    <n v="1495120"/>
    <n v="781540"/>
  </r>
  <r>
    <s v="Karnataka"/>
    <x v="4"/>
    <s v="LG Optimus Net Dual P698"/>
    <s v="Sales"/>
    <n v="377964"/>
    <n v="787425"/>
    <n v="923912"/>
    <n v="787425"/>
    <n v="440958"/>
  </r>
  <r>
    <s v="Karnataka"/>
    <x v="4"/>
    <s v="LG Optimus 3D P920"/>
    <s v="Sales"/>
    <n v="1147600"/>
    <n v="1147600"/>
    <n v="634200"/>
    <n v="2536800"/>
    <n v="906000"/>
  </r>
  <r>
    <s v="Karnataka"/>
    <x v="4"/>
    <s v="LG Optimus NET P690"/>
    <s v="Sales"/>
    <n v="919908"/>
    <n v="679932"/>
    <n v="749925"/>
    <n v="349965"/>
    <n v="589941"/>
  </r>
  <r>
    <s v="Karnataka"/>
    <x v="4"/>
    <s v="LG Optimus Pro C660"/>
    <s v="Sales"/>
    <n v="585539"/>
    <n v="230376"/>
    <n v="671930"/>
    <n v="796717"/>
    <n v="307168"/>
  </r>
  <r>
    <s v="Karnataka"/>
    <x v="4"/>
    <s v="LG Optimus Black P970"/>
    <s v="Sales"/>
    <n v="702963"/>
    <n v="1234935"/>
    <n v="265986"/>
    <n v="1804905"/>
    <n v="227988"/>
  </r>
  <r>
    <s v="Karnataka"/>
    <x v="4"/>
    <s v="LG Optimus 2X"/>
    <s v="Sales"/>
    <n v="439978"/>
    <n v="1039948"/>
    <n v="1079946"/>
    <n v="1679916"/>
    <n v="1379931"/>
  </r>
  <r>
    <s v="Karnataka"/>
    <x v="4"/>
    <s v="LG Optimus One P500"/>
    <s v="Sales"/>
    <n v="647910"/>
    <n v="103290"/>
    <n v="788760"/>
    <n v="122070"/>
    <n v="741810"/>
  </r>
  <r>
    <s v="Karnataka"/>
    <x v="4"/>
    <s v="LG Optimus 5X"/>
    <s v="Sales"/>
    <n v="2079000"/>
    <n v="861000"/>
    <n v="1995000"/>
    <n v="840000"/>
    <n v="1953000"/>
  </r>
  <r>
    <s v="Karnataka"/>
    <x v="4"/>
    <s v="LG Optimus 12X"/>
    <s v="Sales"/>
    <n v="1975000"/>
    <n v="1850000"/>
    <n v="1125000"/>
    <n v="2000000"/>
    <n v="550000"/>
  </r>
  <r>
    <s v="Karnataka"/>
    <x v="5"/>
    <s v="Motorola Razr XT910"/>
    <s v="Sales"/>
    <n v="1119965"/>
    <n v="1183963"/>
    <n v="1471954"/>
    <n v="2655917"/>
    <n v="2495922"/>
  </r>
  <r>
    <s v="Karnataka"/>
    <x v="5"/>
    <s v="Motorola Defy+"/>
    <s v="Sales"/>
    <n v="757574"/>
    <n v="543477"/>
    <n v="279973"/>
    <n v="444663"/>
    <n v="691698"/>
  </r>
  <r>
    <s v="Karnataka"/>
    <x v="5"/>
    <s v="Motorola Fire XT530"/>
    <s v="Sales"/>
    <n v="812613"/>
    <n v="895052"/>
    <n v="930383"/>
    <n v="329756"/>
    <n v="259094"/>
  </r>
  <r>
    <s v="Karnataka"/>
    <x v="5"/>
    <s v="Motorola Brea EX119"/>
    <s v="Sales"/>
    <n v="211960"/>
    <n v="445116"/>
    <n v="174867"/>
    <n v="201362"/>
    <n v="116578"/>
  </r>
  <r>
    <s v="Karnataka"/>
    <x v="5"/>
    <s v="Motorola Fire"/>
    <s v="Sales"/>
    <n v="818800"/>
    <n v="195800"/>
    <n v="569600"/>
    <n v="890000"/>
    <n v="676400"/>
  </r>
  <r>
    <s v="Karnataka"/>
    <x v="5"/>
    <s v="Motorola Xoom 32GB (Wi-Fi) Tablet"/>
    <s v="Sales"/>
    <n v="513452"/>
    <n v="2232400"/>
    <n v="2053808"/>
    <n v="669720"/>
    <n v="401832"/>
  </r>
  <r>
    <s v="Karnataka"/>
    <x v="5"/>
    <s v="Motorola Xoom 32GB (Wi-Fi+3G) Tablet"/>
    <s v="Sales"/>
    <n v="1585390"/>
    <n v="701730"/>
    <n v="987620"/>
    <n v="259900"/>
    <n v="389850"/>
  </r>
  <r>
    <s v="Karnataka"/>
    <x v="5"/>
    <s v="Motorola Milestone 4GB"/>
    <s v="Sales"/>
    <n v="800000"/>
    <n v="780000"/>
    <n v="460000"/>
    <n v="1900000"/>
    <n v="460000"/>
  </r>
  <r>
    <s v="Karnataka"/>
    <x v="5"/>
    <s v="Motorola Milestone 16GB"/>
    <s v="Sales"/>
    <n v="273000"/>
    <n v="588000"/>
    <n v="1890000"/>
    <n v="903000"/>
    <n v="1617000"/>
  </r>
  <r>
    <s v="Karnataka"/>
    <x v="5"/>
    <s v="Motorola Milestone 32GB"/>
    <s v="Sales"/>
    <n v="858000"/>
    <n v="1364000"/>
    <n v="1518000"/>
    <n v="1628000"/>
    <n v="2046000"/>
  </r>
  <r>
    <s v="Karnataka"/>
    <x v="6"/>
    <s v="Blackberry Bold 9790"/>
    <s v="Sales"/>
    <n v="2380500"/>
    <n v="370300"/>
    <n v="767050"/>
    <n v="1322500"/>
    <n v="1851500"/>
  </r>
  <r>
    <s v="Karnataka"/>
    <x v="6"/>
    <s v="Blackberry Curve 9380"/>
    <s v="Sales"/>
    <n v="902382"/>
    <n v="470808"/>
    <n v="1039701"/>
    <n v="686595"/>
    <n v="529659"/>
  </r>
  <r>
    <s v="Karnataka"/>
    <x v="6"/>
    <s v="Blackberry Torch 9860"/>
    <s v="Sales"/>
    <n v="2323890"/>
    <n v="1291050"/>
    <n v="1491880"/>
    <n v="1721400"/>
    <n v="1377120"/>
  </r>
  <r>
    <s v="Karnataka"/>
    <x v="6"/>
    <s v="Blackberry Curve 9360"/>
    <s v="Sales"/>
    <n v="379800"/>
    <n v="1329300"/>
    <n v="968490"/>
    <n v="1215360"/>
    <n v="816570"/>
  </r>
  <r>
    <s v="Karnataka"/>
    <x v="6"/>
    <s v="Blackberry Torch 9810"/>
    <s v="Sales"/>
    <n v="2153490"/>
    <n v="2028650"/>
    <n v="2559220"/>
    <n v="1560500"/>
    <n v="592990"/>
  </r>
  <r>
    <s v="Karnataka"/>
    <x v="6"/>
    <s v="Blackberry Bold 4 9900"/>
    <s v="Sales"/>
    <n v="800640"/>
    <n v="1434480"/>
    <n v="1134240"/>
    <n v="3302640"/>
    <n v="1067520"/>
  </r>
  <r>
    <s v="Karnataka"/>
    <x v="6"/>
    <s v="Blackberry Playbook 64GB Wi-Fi Tablet"/>
    <s v="Sales"/>
    <n v="839958"/>
    <n v="1379931"/>
    <n v="219989"/>
    <n v="1379931"/>
    <n v="759962"/>
  </r>
  <r>
    <s v="Karnataka"/>
    <x v="6"/>
    <s v="Blackberry Playbook 32GB Wi-Fi Tablet"/>
    <s v="Sales"/>
    <n v="1464950"/>
    <n v="600100"/>
    <n v="1429650"/>
    <n v="1606150"/>
    <n v="264750"/>
  </r>
  <r>
    <s v="Karnataka"/>
    <x v="6"/>
    <s v="Blackberry Playbook 16GB Wi-Fi Tablet"/>
    <s v="Sales"/>
    <n v="1474400"/>
    <n v="380000"/>
    <n v="516800"/>
    <n v="501600"/>
    <n v="532000"/>
  </r>
  <r>
    <s v="Karnataka"/>
    <x v="6"/>
    <s v="Blackberry Bold 9780"/>
    <s v="Sales"/>
    <n v="963900"/>
    <n v="1445850"/>
    <n v="1858950"/>
    <n v="895050"/>
    <n v="2065500"/>
  </r>
  <r>
    <s v="Karnataka"/>
    <x v="7"/>
    <s v="Apple iPhone 4S 64GB"/>
    <s v="Sales"/>
    <n v="5750000"/>
    <n v="5117500"/>
    <n v="5002500"/>
    <n v="4830000"/>
    <n v="5577500"/>
  </r>
  <r>
    <s v="Karnataka"/>
    <x v="7"/>
    <s v="Apple iPhone 4S 32GB"/>
    <s v="Sales"/>
    <n v="2086900"/>
    <n v="763500"/>
    <n v="1781500"/>
    <n v="1832400"/>
    <n v="4173800"/>
  </r>
  <r>
    <s v="Karnataka"/>
    <x v="7"/>
    <s v="Apple iPhone 4S 16GB"/>
    <s v="Sales"/>
    <n v="801000"/>
    <n v="3604500"/>
    <n v="845500"/>
    <n v="2002500"/>
    <n v="1424000"/>
  </r>
  <r>
    <s v="Karnataka"/>
    <x v="7"/>
    <s v="Apple iPhone 4 8GB"/>
    <s v="Sales"/>
    <n v="1895000"/>
    <n v="2274000"/>
    <n v="1440200"/>
    <n v="682200"/>
    <n v="3145700"/>
  </r>
  <r>
    <s v="Karnataka"/>
    <x v="7"/>
    <s v="Apple iPad 2 16GB (Wi-Fi) Tablet"/>
    <s v="Sales"/>
    <n v="1858500"/>
    <n v="1032500"/>
    <n v="295000"/>
    <n v="1770000"/>
    <n v="560500"/>
  </r>
  <r>
    <s v="Karnataka"/>
    <x v="7"/>
    <s v="Apple iPad 2 32GB (Wi-Fi) Tablet"/>
    <s v="Sales"/>
    <n v="2311500"/>
    <n v="2967000"/>
    <n v="690000"/>
    <n v="1552500"/>
    <n v="2863500"/>
  </r>
  <r>
    <s v="Karnataka"/>
    <x v="7"/>
    <s v="Apple iPad 2 64GB (Wi-Fi) Tablet"/>
    <s v="Sales"/>
    <n v="3002000"/>
    <n v="3555000"/>
    <n v="2409500"/>
    <n v="1264000"/>
    <n v="1580000"/>
  </r>
  <r>
    <s v="Karnataka"/>
    <x v="7"/>
    <s v="Apple iPad 2 16GB (Wi-Fi+3G) Tablet"/>
    <s v="Sales"/>
    <n v="3431700"/>
    <n v="3136500"/>
    <n v="2103300"/>
    <n v="3173400"/>
    <n v="2029500"/>
  </r>
  <r>
    <s v="Karnataka"/>
    <x v="7"/>
    <s v="Apple iPad 2 32GB (Wi-Fi+3G) Tablet"/>
    <s v="Sales"/>
    <n v="3645300"/>
    <n v="1215100"/>
    <n v="1005600"/>
    <n v="2597800"/>
    <n v="419000"/>
  </r>
  <r>
    <s v="Karnataka"/>
    <x v="7"/>
    <s v="Apple iPad 2 64GB (Wi-Fi+3G) Tablet"/>
    <s v="Sales"/>
    <n v="1594600"/>
    <n v="1735300"/>
    <n v="2485700"/>
    <n v="4549300"/>
    <n v="891100"/>
  </r>
  <r>
    <s v="Kerala"/>
    <x v="0"/>
    <s v="Nokia Lumia 800"/>
    <s v="Sales"/>
    <n v="1109963"/>
    <n v="1349955"/>
    <n v="2909903"/>
    <n v="329989"/>
    <n v="419986"/>
  </r>
  <r>
    <s v="Kerala"/>
    <x v="0"/>
    <s v="Nokia Lumia 710"/>
    <s v="Sales"/>
    <n v="659358"/>
    <n v="879144"/>
    <n v="753552"/>
    <n v="580863"/>
    <n v="1318716"/>
  </r>
  <r>
    <s v="Kerala"/>
    <x v="0"/>
    <s v="Nokia 603"/>
    <s v="Sales"/>
    <n v="289200"/>
    <n v="983280"/>
    <n v="983280"/>
    <n v="1359240"/>
    <n v="1142340"/>
  </r>
  <r>
    <s v="Kerala"/>
    <x v="0"/>
    <s v="Nokia 701"/>
    <s v="Sales"/>
    <n v="594965"/>
    <n v="1070937"/>
    <n v="373978"/>
    <n v="1427916"/>
    <n v="254985"/>
  </r>
  <r>
    <s v="Kerala"/>
    <x v="0"/>
    <s v="Nokia 500 Fate"/>
    <s v="Sales"/>
    <n v="657225"/>
    <n v="895350"/>
    <n v="228600"/>
    <n v="123825"/>
    <n v="533400"/>
  </r>
  <r>
    <s v="Kerala"/>
    <x v="0"/>
    <s v="Nokia E6"/>
    <s v="Sales"/>
    <n v="786600"/>
    <n v="342000"/>
    <n v="1521900"/>
    <n v="359100"/>
    <n v="513000"/>
  </r>
  <r>
    <s v="Kerala"/>
    <x v="0"/>
    <s v="Nokia X7"/>
    <s v="Sales"/>
    <n v="857560"/>
    <n v="1422770"/>
    <n v="1812570"/>
    <n v="1013480"/>
    <n v="1305830"/>
  </r>
  <r>
    <s v="Kerala"/>
    <x v="0"/>
    <s v="Nokia E7"/>
    <s v="Sales"/>
    <n v="2249670"/>
    <n v="1306260"/>
    <n v="1790060"/>
    <n v="2056150"/>
    <n v="2298050"/>
  </r>
  <r>
    <s v="Kerala"/>
    <x v="0"/>
    <s v="Nokia C3-01"/>
    <s v="Sales"/>
    <n v="775030"/>
    <n v="775030"/>
    <n v="455430"/>
    <n v="279650"/>
    <n v="599250"/>
  </r>
  <r>
    <s v="Kerala"/>
    <x v="0"/>
    <s v="Nokia E5"/>
    <s v="Sales"/>
    <n v="309060"/>
    <n v="636300"/>
    <n v="354510"/>
    <n v="172710"/>
    <n v="909000"/>
  </r>
  <r>
    <s v="Kerala"/>
    <x v="1"/>
    <s v="Samsung Omnia W I8350"/>
    <s v="Sales"/>
    <n v="1628308"/>
    <n v="1646007"/>
    <n v="1575211"/>
    <n v="1486716"/>
    <n v="1061940"/>
  </r>
  <r>
    <s v="Kerala"/>
    <x v="1"/>
    <s v="Samsung Galaxy Tab 620"/>
    <s v="Sales"/>
    <n v="741972"/>
    <n v="715473"/>
    <n v="1828431"/>
    <n v="688974"/>
    <n v="1139457"/>
  </r>
  <r>
    <s v="Kerala"/>
    <x v="1"/>
    <s v="Samsung Wave III S8600"/>
    <s v="Sales"/>
    <n v="731200"/>
    <n v="1224760"/>
    <n v="1041960"/>
    <n v="859160"/>
    <n v="950560"/>
  </r>
  <r>
    <s v="Kerala"/>
    <x v="1"/>
    <s v="Samsung Wave Y S5380"/>
    <s v="Sales"/>
    <n v="392700"/>
    <n v="271320"/>
    <n v="585480"/>
    <n v="592620"/>
    <n v="492660"/>
  </r>
  <r>
    <s v="Kerala"/>
    <x v="1"/>
    <s v="Samsung Galaxy Tab 730"/>
    <s v="Sales"/>
    <n v="1750650"/>
    <n v="732090"/>
    <n v="1750650"/>
    <n v="2832870"/>
    <n v="2896530"/>
  </r>
  <r>
    <s v="Kerala"/>
    <x v="1"/>
    <s v="Samsung Galaxy Note GT-N7000"/>
    <s v="Sales"/>
    <n v="654000"/>
    <n v="1765800"/>
    <n v="1962000"/>
    <n v="3008400"/>
    <n v="2681400"/>
  </r>
  <r>
    <s v="Kerala"/>
    <x v="1"/>
    <s v="Samsung Galaxy R I9103"/>
    <s v="Sales"/>
    <n v="1864550"/>
    <n v="209500"/>
    <n v="1801700"/>
    <n v="628500"/>
    <n v="1508400"/>
  </r>
  <r>
    <s v="Kerala"/>
    <x v="1"/>
    <s v="Samsung Galaxy S Plus I9001"/>
    <s v="Sales"/>
    <n v="439120"/>
    <n v="548900"/>
    <n v="2063864"/>
    <n v="1734524"/>
    <n v="1602788"/>
  </r>
  <r>
    <s v="Kerala"/>
    <x v="1"/>
    <s v="Samsung Galaxy Y S5360"/>
    <s v="Sales"/>
    <n v="516810"/>
    <n v="621670"/>
    <n v="674100"/>
    <n v="711550"/>
    <n v="89880"/>
  </r>
  <r>
    <s v="Kerala"/>
    <x v="1"/>
    <s v="Samsung Galaxy S II"/>
    <s v="Sales"/>
    <n v="2306250"/>
    <n v="1998750"/>
    <n v="1906500"/>
    <n v="2398500"/>
    <n v="1629750"/>
  </r>
  <r>
    <s v="Kerala"/>
    <x v="2"/>
    <s v="Sony Ericsson Live WT19i"/>
    <s v="Sales"/>
    <n v="578100"/>
    <n v="713400"/>
    <n v="541200"/>
    <n v="971700"/>
    <n v="479700"/>
  </r>
  <r>
    <s v="Kerala"/>
    <x v="2"/>
    <s v="Sony Ericsson Xperia Arc S"/>
    <s v="Sales"/>
    <n v="364000"/>
    <n v="336000"/>
    <n v="1456000"/>
    <n v="1288000"/>
    <n v="1512000"/>
  </r>
  <r>
    <s v="Kerala"/>
    <x v="2"/>
    <s v="Sony Ericsson Xperia Pro"/>
    <s v="Sales"/>
    <n v="1382070"/>
    <n v="460690"/>
    <n v="240360"/>
    <n v="1241860"/>
    <n v="981470"/>
  </r>
  <r>
    <s v="Kerala"/>
    <x v="2"/>
    <s v="Sony Ericsson Xperia Active ST17i"/>
    <s v="Sales"/>
    <n v="1881000"/>
    <n v="495000"/>
    <n v="554400"/>
    <n v="891000"/>
    <n v="1287000"/>
  </r>
  <r>
    <s v="Kerala"/>
    <x v="2"/>
    <s v="Sony Ericsson Xperia Neo V"/>
    <s v="Sales"/>
    <n v="918000"/>
    <n v="576000"/>
    <n v="648000"/>
    <n v="936000"/>
    <n v="414000"/>
  </r>
  <r>
    <s v="Kerala"/>
    <x v="2"/>
    <s v="Sony Ericsson Xperia Ray ST18i"/>
    <s v="Sales"/>
    <n v="682110"/>
    <n v="612150"/>
    <n v="769560"/>
    <n v="1189320"/>
    <n v="489720"/>
  </r>
  <r>
    <s v="Kerala"/>
    <x v="2"/>
    <s v="Sony Ericsson Xperia Mini Pro SK17i"/>
    <s v="Sales"/>
    <n v="805620"/>
    <n v="583380"/>
    <n v="1000080"/>
    <n v="138900"/>
    <n v="833400"/>
  </r>
  <r>
    <s v="Kerala"/>
    <x v="2"/>
    <s v="Sony Ericsson Xperia Mini ST15i"/>
    <s v="Sales"/>
    <n v="931660"/>
    <n v="642090"/>
    <n v="793170"/>
    <n v="566550"/>
    <n v="1158280"/>
  </r>
  <r>
    <s v="Kerala"/>
    <x v="2"/>
    <s v="Sony Ericsson Fengli txt pro CK15i"/>
    <s v="Sales"/>
    <n v="273800"/>
    <n v="130055"/>
    <n v="527065"/>
    <n v="643430"/>
    <n v="383320"/>
  </r>
  <r>
    <s v="Kerala"/>
    <x v="2"/>
    <s v="Sony Ericsson Xperia 32GB"/>
    <s v="Sales"/>
    <n v="720000"/>
    <n v="577500"/>
    <n v="465000"/>
    <n v="285000"/>
    <n v="660000"/>
  </r>
  <r>
    <s v="Kerala"/>
    <x v="3"/>
    <s v="HTC Sensation XE"/>
    <s v="Sales"/>
    <n v="655310"/>
    <n v="2414300"/>
    <n v="1758990"/>
    <n v="1793480"/>
    <n v="2552260"/>
  </r>
  <r>
    <s v="Kerala"/>
    <x v="3"/>
    <s v="HTC Rhyme (Sea Glass)"/>
    <s v="Sales"/>
    <n v="2439300"/>
    <n v="1712700"/>
    <n v="2413350"/>
    <n v="648750"/>
    <n v="1946250"/>
  </r>
  <r>
    <s v="Kerala"/>
    <x v="3"/>
    <s v="HTC Radar"/>
    <s v="Sales"/>
    <n v="1175510"/>
    <n v="1247480"/>
    <n v="1655310"/>
    <n v="1631320"/>
    <n v="527780"/>
  </r>
  <r>
    <s v="Kerala"/>
    <x v="3"/>
    <s v="HTC Explorer"/>
    <s v="Sales"/>
    <n v="1011908"/>
    <n v="241978"/>
    <n v="142987"/>
    <n v="1000909"/>
    <n v="923916"/>
  </r>
  <r>
    <s v="Kerala"/>
    <x v="3"/>
    <s v="HTC Evo 3D"/>
    <s v="Sales"/>
    <n v="3150000"/>
    <n v="3150000"/>
    <n v="1085000"/>
    <n v="2870000"/>
    <n v="2905000"/>
  </r>
  <r>
    <s v="Kerala"/>
    <x v="3"/>
    <s v="HTC ChaCha"/>
    <s v="Sales"/>
    <n v="387469"/>
    <n v="262479"/>
    <n v="237481"/>
    <n v="737441"/>
    <n v="1137409"/>
  </r>
  <r>
    <s v="Kerala"/>
    <x v="3"/>
    <s v="HTC Sensation"/>
    <s v="Sales"/>
    <n v="1272800"/>
    <n v="710400"/>
    <n v="1006400"/>
    <n v="2456800"/>
    <n v="1539200"/>
  </r>
  <r>
    <s v="Kerala"/>
    <x v="3"/>
    <s v="HTC Wildfire S"/>
    <s v="Sales"/>
    <n v="221000"/>
    <n v="1274000"/>
    <n v="468000"/>
    <n v="156000"/>
    <n v="299000"/>
  </r>
  <r>
    <s v="Kerala"/>
    <x v="3"/>
    <s v="HTC Incredible S"/>
    <s v="Sales"/>
    <n v="1230880"/>
    <n v="1858880"/>
    <n v="1532320"/>
    <n v="1004800"/>
    <n v="1256000"/>
  </r>
  <r>
    <s v="Kerala"/>
    <x v="3"/>
    <s v="HTC Desire S"/>
    <s v="Sales"/>
    <n v="1453833"/>
    <n v="1236843"/>
    <n v="694368"/>
    <n v="1345338"/>
    <n v="1410435"/>
  </r>
  <r>
    <s v="Kerala"/>
    <x v="4"/>
    <s v="LG Optimus Sol E730"/>
    <s v="Sales"/>
    <n v="1461140"/>
    <n v="458730"/>
    <n v="781540"/>
    <n v="917460"/>
    <n v="696590"/>
  </r>
  <r>
    <s v="Kerala"/>
    <x v="4"/>
    <s v="LG Optimus Net Dual P698"/>
    <s v="Sales"/>
    <n v="860918"/>
    <n v="755928"/>
    <n v="566946"/>
    <n v="871417"/>
    <n v="482954"/>
  </r>
  <r>
    <s v="Kerala"/>
    <x v="4"/>
    <s v="LG Optimus 3D P920"/>
    <s v="Sales"/>
    <n v="1087200"/>
    <n v="1721400"/>
    <n v="2083800"/>
    <n v="1902600"/>
    <n v="2567000"/>
  </r>
  <r>
    <s v="Kerala"/>
    <x v="4"/>
    <s v="LG Optimus NET P690"/>
    <s v="Sales"/>
    <n v="819918"/>
    <n v="729927"/>
    <n v="989901"/>
    <n v="599940"/>
    <n v="109989"/>
  </r>
  <r>
    <s v="Kerala"/>
    <x v="4"/>
    <s v="LG Optimus Pro C660"/>
    <s v="Sales"/>
    <n v="259173"/>
    <n v="844712"/>
    <n v="230376"/>
    <n v="681529"/>
    <n v="863910"/>
  </r>
  <r>
    <s v="Kerala"/>
    <x v="4"/>
    <s v="LG Optimus Black P970"/>
    <s v="Sales"/>
    <n v="1842903"/>
    <n v="1595916"/>
    <n v="569970"/>
    <n v="1139940"/>
    <n v="1158939"/>
  </r>
  <r>
    <s v="Kerala"/>
    <x v="4"/>
    <s v="LG Optimus 2X"/>
    <s v="Sales"/>
    <n v="1139943"/>
    <n v="1999900"/>
    <n v="759962"/>
    <n v="1679916"/>
    <n v="1219939"/>
  </r>
  <r>
    <s v="Kerala"/>
    <x v="4"/>
    <s v="LG Optimus One P500"/>
    <s v="Sales"/>
    <n v="939000"/>
    <n v="694860"/>
    <n v="366210"/>
    <n v="873270"/>
    <n v="488280"/>
  </r>
  <r>
    <s v="Kerala"/>
    <x v="4"/>
    <s v="LG Optimus 5X"/>
    <s v="Sales"/>
    <n v="1890000"/>
    <n v="1050000"/>
    <n v="1932000"/>
    <n v="1008000"/>
    <n v="819000"/>
  </r>
  <r>
    <s v="Kerala"/>
    <x v="4"/>
    <s v="LG Optimus 12X"/>
    <s v="Sales"/>
    <n v="1075000"/>
    <n v="2025000"/>
    <n v="2025000"/>
    <n v="2500000"/>
    <n v="425000"/>
  </r>
  <r>
    <s v="Kerala"/>
    <x v="5"/>
    <s v="Motorola Razr XT910"/>
    <s v="Sales"/>
    <n v="1279960"/>
    <n v="2623918"/>
    <n v="1279960"/>
    <n v="511984"/>
    <n v="2783913"/>
  </r>
  <r>
    <s v="Kerala"/>
    <x v="5"/>
    <s v="Motorola Defy+"/>
    <s v="Sales"/>
    <n v="1169299"/>
    <n v="691698"/>
    <n v="1465741"/>
    <n v="1449272"/>
    <n v="1152830"/>
  </r>
  <r>
    <s v="Kerala"/>
    <x v="5"/>
    <s v="Motorola Fire XT530"/>
    <s v="Sales"/>
    <n v="1142369"/>
    <n v="777282"/>
    <n v="577073"/>
    <n v="400418"/>
    <n v="671289"/>
  </r>
  <r>
    <s v="Kerala"/>
    <x v="5"/>
    <s v="Motorola Brea EX119"/>
    <s v="Sales"/>
    <n v="355033"/>
    <n v="174867"/>
    <n v="74186"/>
    <n v="296744"/>
    <n v="397425"/>
  </r>
  <r>
    <s v="Kerala"/>
    <x v="5"/>
    <s v="Motorola Fire"/>
    <s v="Sales"/>
    <n v="293700"/>
    <n v="551800"/>
    <n v="729800"/>
    <n v="329300"/>
    <n v="525100"/>
  </r>
  <r>
    <s v="Kerala"/>
    <x v="5"/>
    <s v="Motorola Xoom 32GB (Wi-Fi) Tablet"/>
    <s v="Sales"/>
    <n v="1384088"/>
    <n v="491128"/>
    <n v="2120780"/>
    <n v="312536"/>
    <n v="1585004"/>
  </r>
  <r>
    <s v="Kerala"/>
    <x v="5"/>
    <s v="Motorola Xoom 32GB (Wi-Fi+3G) Tablet"/>
    <s v="Sales"/>
    <n v="1247520"/>
    <n v="1247520"/>
    <n v="2235140"/>
    <n v="649750"/>
    <n v="961630"/>
  </r>
  <r>
    <s v="Kerala"/>
    <x v="5"/>
    <s v="Motorola Milestone 4GB"/>
    <s v="Sales"/>
    <n v="300000"/>
    <n v="1920000"/>
    <n v="340000"/>
    <n v="1340000"/>
    <n v="1080000"/>
  </r>
  <r>
    <s v="Kerala"/>
    <x v="5"/>
    <s v="Motorola Milestone 16GB"/>
    <s v="Sales"/>
    <n v="1596000"/>
    <n v="966000"/>
    <n v="420000"/>
    <n v="357000"/>
    <n v="672000"/>
  </r>
  <r>
    <s v="Kerala"/>
    <x v="5"/>
    <s v="Motorola Milestone 32GB"/>
    <s v="Sales"/>
    <n v="418000"/>
    <n v="1914000"/>
    <n v="1804000"/>
    <n v="1738000"/>
    <n v="990000"/>
  </r>
  <r>
    <s v="Kerala"/>
    <x v="6"/>
    <s v="Blackberry Bold 9790"/>
    <s v="Sales"/>
    <n v="793500"/>
    <n v="1983750"/>
    <n v="1957300"/>
    <n v="1507650"/>
    <n v="1957300"/>
  </r>
  <r>
    <s v="Kerala"/>
    <x v="6"/>
    <s v="Blackberry Curve 9380"/>
    <s v="Sales"/>
    <n v="863148"/>
    <n v="1726296"/>
    <n v="1863615"/>
    <n v="1902849"/>
    <n v="1353573"/>
  </r>
  <r>
    <s v="Kerala"/>
    <x v="6"/>
    <s v="Blackberry Torch 9860"/>
    <s v="Sales"/>
    <n v="2209130"/>
    <n v="1491880"/>
    <n v="2237820"/>
    <n v="1032840"/>
    <n v="1778780"/>
  </r>
  <r>
    <s v="Kerala"/>
    <x v="6"/>
    <s v="Blackberry Curve 9360"/>
    <s v="Sales"/>
    <n v="588690"/>
    <n v="1329300"/>
    <n v="759600"/>
    <n v="1158390"/>
    <n v="208890"/>
  </r>
  <r>
    <s v="Kerala"/>
    <x v="6"/>
    <s v="Blackberry Torch 9810"/>
    <s v="Sales"/>
    <n v="374520"/>
    <n v="2496800"/>
    <n v="2434380"/>
    <n v="873880"/>
    <n v="1342030"/>
  </r>
  <r>
    <s v="Kerala"/>
    <x v="6"/>
    <s v="Blackberry Bold 4 9900"/>
    <s v="Sales"/>
    <n v="1301040"/>
    <n v="1634640"/>
    <n v="3202560"/>
    <n v="2435280"/>
    <n v="967440"/>
  </r>
  <r>
    <s v="Kerala"/>
    <x v="6"/>
    <s v="Blackberry Playbook 64GB Wi-Fi Tablet"/>
    <s v="Sales"/>
    <n v="1299935"/>
    <n v="1819909"/>
    <n v="1039948"/>
    <n v="379981"/>
    <n v="1419929"/>
  </r>
  <r>
    <s v="Kerala"/>
    <x v="6"/>
    <s v="Blackberry Playbook 32GB Wi-Fi Tablet"/>
    <s v="Sales"/>
    <n v="1623800"/>
    <n v="264750"/>
    <n v="1517900"/>
    <n v="970750"/>
    <n v="847200"/>
  </r>
  <r>
    <s v="Kerala"/>
    <x v="6"/>
    <s v="Blackberry Playbook 16GB Wi-Fi Tablet"/>
    <s v="Sales"/>
    <n v="1094400"/>
    <n v="1459200"/>
    <n v="486400"/>
    <n v="1170400"/>
    <n v="760000"/>
  </r>
  <r>
    <s v="Kerala"/>
    <x v="6"/>
    <s v="Blackberry Bold 9780"/>
    <s v="Sales"/>
    <n v="252450"/>
    <n v="1262250"/>
    <n v="849150"/>
    <n v="275400"/>
    <n v="527850"/>
  </r>
  <r>
    <s v="Kerala"/>
    <x v="7"/>
    <s v="Apple iPhone 4S 64GB"/>
    <s v="Sales"/>
    <n v="4772500"/>
    <n v="2012500"/>
    <n v="1322500"/>
    <n v="5117500"/>
    <n v="4427500"/>
  </r>
  <r>
    <s v="Kerala"/>
    <x v="7"/>
    <s v="Apple iPhone 4S 32GB"/>
    <s v="Sales"/>
    <n v="1883300"/>
    <n v="1781500"/>
    <n v="3512100"/>
    <n v="4173800"/>
    <n v="3410300"/>
  </r>
  <r>
    <s v="Kerala"/>
    <x v="7"/>
    <s v="Apple iPhone 4S 16GB"/>
    <s v="Sales"/>
    <n v="1424000"/>
    <n v="2403000"/>
    <n v="2625500"/>
    <n v="1602000"/>
    <n v="2269500"/>
  </r>
  <r>
    <s v="Kerala"/>
    <x v="7"/>
    <s v="Apple iPhone 4 8GB"/>
    <s v="Sales"/>
    <n v="3221500"/>
    <n v="1516000"/>
    <n v="644300"/>
    <n v="2160300"/>
    <n v="2084500"/>
  </r>
  <r>
    <s v="Kerala"/>
    <x v="7"/>
    <s v="Apple iPad 2 16GB (Wi-Fi) Tablet"/>
    <s v="Sales"/>
    <n v="1032500"/>
    <n v="2802500"/>
    <n v="2832000"/>
    <n v="885000"/>
    <n v="1239000"/>
  </r>
  <r>
    <s v="Kerala"/>
    <x v="7"/>
    <s v="Apple iPad 2 32GB (Wi-Fi) Tablet"/>
    <s v="Sales"/>
    <n v="1690500"/>
    <n v="2794500"/>
    <n v="828000"/>
    <n v="3174000"/>
    <n v="1621500"/>
  </r>
  <r>
    <s v="Kerala"/>
    <x v="7"/>
    <s v="Apple iPad 2 64GB (Wi-Fi) Tablet"/>
    <s v="Sales"/>
    <n v="1224500"/>
    <n v="829500"/>
    <n v="553000"/>
    <n v="1856500"/>
    <n v="1540500"/>
  </r>
  <r>
    <s v="Kerala"/>
    <x v="7"/>
    <s v="Apple iPad 2 16GB (Wi-Fi+3G) Tablet"/>
    <s v="Sales"/>
    <n v="996300"/>
    <n v="1549800"/>
    <n v="1070100"/>
    <n v="1955700"/>
    <n v="2878200"/>
  </r>
  <r>
    <s v="Kerala"/>
    <x v="7"/>
    <s v="Apple iPad 2 32GB (Wi-Fi+3G) Tablet"/>
    <s v="Sales"/>
    <n v="1969300"/>
    <n v="3435800"/>
    <n v="1047500"/>
    <n v="3854800"/>
    <n v="2555900"/>
  </r>
  <r>
    <s v="Kerala"/>
    <x v="7"/>
    <s v="Apple iPad 2 64GB (Wi-Fi+3G) Tablet"/>
    <s v="Sales"/>
    <n v="1876000"/>
    <n v="3048500"/>
    <n v="2204300"/>
    <n v="750400"/>
    <n v="1922900"/>
  </r>
  <r>
    <s v="Maharashtra"/>
    <x v="0"/>
    <s v="Nokia Lumia 800"/>
    <s v="Sales"/>
    <n v="2729909"/>
    <n v="2129929"/>
    <n v="2939902"/>
    <n v="1649945"/>
    <n v="1019966"/>
  </r>
  <r>
    <s v="Maharashtra"/>
    <x v="0"/>
    <s v="Nokia Lumia 710"/>
    <s v="Sales"/>
    <n v="298281"/>
    <n v="486669"/>
    <n v="1020435"/>
    <n v="282582"/>
    <n v="926241"/>
  </r>
  <r>
    <s v="Maharashtra"/>
    <x v="0"/>
    <s v="Nokia 603"/>
    <s v="Sales"/>
    <n v="867600"/>
    <n v="1098960"/>
    <n v="751920"/>
    <n v="737460"/>
    <n v="1388160"/>
  </r>
  <r>
    <s v="Maharashtra"/>
    <x v="0"/>
    <s v="Nokia 701"/>
    <s v="Sales"/>
    <n v="1478913"/>
    <n v="645962"/>
    <n v="220987"/>
    <n v="1546909"/>
    <n v="1240927"/>
  </r>
  <r>
    <s v="Maharashtra"/>
    <x v="0"/>
    <s v="Nokia 500 Fate"/>
    <s v="Sales"/>
    <n v="161925"/>
    <n v="152400"/>
    <n v="847725"/>
    <n v="809625"/>
    <n v="200025"/>
  </r>
  <r>
    <s v="Maharashtra"/>
    <x v="0"/>
    <s v="Nokia E6"/>
    <s v="Sales"/>
    <n v="820800"/>
    <n v="1026000"/>
    <n v="1231200"/>
    <n v="581400"/>
    <n v="974700"/>
  </r>
  <r>
    <s v="Maharashtra"/>
    <x v="0"/>
    <s v="Nokia X7"/>
    <s v="Sales"/>
    <n v="974500"/>
    <n v="838070"/>
    <n v="1773590"/>
    <n v="292350"/>
    <n v="682150"/>
  </r>
  <r>
    <s v="Maharashtra"/>
    <x v="0"/>
    <s v="Nokia E7"/>
    <s v="Sales"/>
    <n v="895030"/>
    <n v="266090"/>
    <n v="822460"/>
    <n v="2080340"/>
    <n v="241900"/>
  </r>
  <r>
    <s v="Maharashtra"/>
    <x v="0"/>
    <s v="Nokia C3-01"/>
    <s v="Sales"/>
    <n v="687140"/>
    <n v="167790"/>
    <n v="343570"/>
    <n v="711110"/>
    <n v="799000"/>
  </r>
  <r>
    <s v="Maharashtra"/>
    <x v="0"/>
    <s v="Nokia E5"/>
    <s v="Sales"/>
    <n v="590850"/>
    <n v="209070"/>
    <n v="645390"/>
    <n v="463590"/>
    <n v="281790"/>
  </r>
  <r>
    <s v="Maharashtra"/>
    <x v="1"/>
    <s v="Samsung Omnia W I8350"/>
    <s v="Sales"/>
    <n v="194689"/>
    <n v="743358"/>
    <n v="442475"/>
    <n v="1309726"/>
    <n v="336281"/>
  </r>
  <r>
    <s v="Maharashtra"/>
    <x v="1"/>
    <s v="Samsung Galaxy Tab 620"/>
    <s v="Sales"/>
    <n v="2490906"/>
    <n v="1059960"/>
    <n v="1245453"/>
    <n v="1854930"/>
    <n v="874467"/>
  </r>
  <r>
    <s v="Maharashtra"/>
    <x v="1"/>
    <s v="Samsung Wave III S8600"/>
    <s v="Sales"/>
    <n v="584960"/>
    <n v="493560"/>
    <n v="493560"/>
    <n v="383880"/>
    <n v="511840"/>
  </r>
  <r>
    <s v="Maharashtra"/>
    <x v="1"/>
    <s v="Samsung Wave Y S5380"/>
    <s v="Sales"/>
    <n v="185640"/>
    <n v="599760"/>
    <n v="128520"/>
    <n v="506940"/>
    <n v="549780"/>
  </r>
  <r>
    <s v="Maharashtra"/>
    <x v="1"/>
    <s v="Samsung Galaxy Tab 730"/>
    <s v="Sales"/>
    <n v="1018560"/>
    <n v="541110"/>
    <n v="1591500"/>
    <n v="2005290"/>
    <n v="2673720"/>
  </r>
  <r>
    <s v="Maharashtra"/>
    <x v="1"/>
    <s v="Samsung Galaxy Note GT-N7000"/>
    <s v="Sales"/>
    <n v="2321700"/>
    <n v="1602300"/>
    <n v="2877600"/>
    <n v="2714100"/>
    <n v="3237300"/>
  </r>
  <r>
    <s v="Maharashtra"/>
    <x v="1"/>
    <s v="Samsung Galaxy R I9103"/>
    <s v="Sales"/>
    <n v="1047500"/>
    <n v="1927400"/>
    <n v="481850"/>
    <n v="2095000"/>
    <n v="544700"/>
  </r>
  <r>
    <s v="Maharashtra"/>
    <x v="1"/>
    <s v="Samsung Galaxy S Plus I9001"/>
    <s v="Sales"/>
    <n v="395208"/>
    <n v="1558876"/>
    <n v="878240"/>
    <n v="1910172"/>
    <n v="1646700"/>
  </r>
  <r>
    <s v="Maharashtra"/>
    <x v="1"/>
    <s v="Samsung Galaxy Y S5360"/>
    <s v="Sales"/>
    <n v="411950"/>
    <n v="389480"/>
    <n v="599200"/>
    <n v="239680"/>
    <n v="344540"/>
  </r>
  <r>
    <s v="Maharashtra"/>
    <x v="1"/>
    <s v="Samsung Galaxy S II"/>
    <s v="Sales"/>
    <n v="1322250"/>
    <n v="830250"/>
    <n v="1476000"/>
    <n v="615000"/>
    <n v="1383750"/>
  </r>
  <r>
    <s v="Maharashtra"/>
    <x v="2"/>
    <s v="Sony Ericsson Live WT19i"/>
    <s v="Sales"/>
    <n v="947100"/>
    <n v="442800"/>
    <n v="221400"/>
    <n v="455100"/>
    <n v="369000"/>
  </r>
  <r>
    <s v="Maharashtra"/>
    <x v="2"/>
    <s v="Sony Ericsson Xperia Arc S"/>
    <s v="Sales"/>
    <n v="2576000"/>
    <n v="2044000"/>
    <n v="1904000"/>
    <n v="728000"/>
    <n v="1820000"/>
  </r>
  <r>
    <s v="Maharashtra"/>
    <x v="2"/>
    <s v="Sony Ericsson Xperia Pro"/>
    <s v="Sales"/>
    <n v="280420"/>
    <n v="1221830"/>
    <n v="881320"/>
    <n v="200300"/>
    <n v="1942910"/>
  </r>
  <r>
    <s v="Maharashtra"/>
    <x v="2"/>
    <s v="Sony Ericsson Xperia Active ST17i"/>
    <s v="Sales"/>
    <n v="495000"/>
    <n v="1108800"/>
    <n v="1564200"/>
    <n v="633600"/>
    <n v="376200"/>
  </r>
  <r>
    <s v="Maharashtra"/>
    <x v="2"/>
    <s v="Sony Ericsson Xperia Neo V"/>
    <s v="Sales"/>
    <n v="612000"/>
    <n v="1566000"/>
    <n v="1584000"/>
    <n v="720000"/>
    <n v="360000"/>
  </r>
  <r>
    <s v="Maharashtra"/>
    <x v="2"/>
    <s v="Sony Ericsson Xperia Ray ST18i"/>
    <s v="Sales"/>
    <n v="297330"/>
    <n v="349800"/>
    <n v="1556610"/>
    <n v="839520"/>
    <n v="1714020"/>
  </r>
  <r>
    <s v="Maharashtra"/>
    <x v="2"/>
    <s v="Sony Ericsson Xperia Mini Pro SK17i"/>
    <s v="Sales"/>
    <n v="1000080"/>
    <n v="1111200"/>
    <n v="763950"/>
    <n v="1389000"/>
    <n v="444480"/>
  </r>
  <r>
    <s v="Maharashtra"/>
    <x v="2"/>
    <s v="Sony Ericsson Xperia Mini ST15i"/>
    <s v="Sales"/>
    <n v="931660"/>
    <n v="1019790"/>
    <n v="1057560"/>
    <n v="654680"/>
    <n v="1019790"/>
  </r>
  <r>
    <s v="Maharashtra"/>
    <x v="2"/>
    <s v="Sony Ericsson Fengli txt pro CK15i"/>
    <s v="Sales"/>
    <n v="383320"/>
    <n v="595515"/>
    <n v="643430"/>
    <n v="314870"/>
    <n v="260110"/>
  </r>
  <r>
    <s v="Maharashtra"/>
    <x v="2"/>
    <s v="Sony Ericsson Xperia 32GB"/>
    <s v="Sales"/>
    <n v="487500"/>
    <n v="690000"/>
    <n v="75000"/>
    <n v="225000"/>
    <n v="217500"/>
  </r>
  <r>
    <s v="Maharashtra"/>
    <x v="3"/>
    <s v="HTC Sensation XE"/>
    <s v="Sales"/>
    <n v="1586540"/>
    <n v="2310830"/>
    <n v="3207570"/>
    <n v="2517770"/>
    <n v="3345530"/>
  </r>
  <r>
    <s v="Maharashtra"/>
    <x v="3"/>
    <s v="HTC Rhyme (Sea Glass)"/>
    <s v="Sales"/>
    <n v="934200"/>
    <n v="934200"/>
    <n v="1972200"/>
    <n v="2439300"/>
    <n v="2101950"/>
  </r>
  <r>
    <s v="Maharashtra"/>
    <x v="3"/>
    <s v="HTC Radar"/>
    <s v="Sales"/>
    <n v="2015160"/>
    <n v="2135110"/>
    <n v="2039150"/>
    <n v="1295460"/>
    <n v="1991170"/>
  </r>
  <r>
    <s v="Maharashtra"/>
    <x v="3"/>
    <s v="HTC Explorer"/>
    <s v="Sales"/>
    <n v="131988"/>
    <n v="175984"/>
    <n v="175984"/>
    <n v="494955"/>
    <n v="219980"/>
  </r>
  <r>
    <s v="Maharashtra"/>
    <x v="3"/>
    <s v="HTC Evo 3D"/>
    <s v="Sales"/>
    <n v="1190000"/>
    <n v="1470000"/>
    <n v="3500000"/>
    <n v="1680000"/>
    <n v="1295000"/>
  </r>
  <r>
    <s v="Maharashtra"/>
    <x v="3"/>
    <s v="HTC ChaCha"/>
    <s v="Sales"/>
    <n v="1124910"/>
    <n v="299976"/>
    <n v="237481"/>
    <n v="324974"/>
    <n v="862431"/>
  </r>
  <r>
    <s v="Maharashtra"/>
    <x v="3"/>
    <s v="HTC Sensation"/>
    <s v="Sales"/>
    <n v="1184000"/>
    <n v="680800"/>
    <n v="1213600"/>
    <n v="325600"/>
    <n v="1243200"/>
  </r>
  <r>
    <s v="Maharashtra"/>
    <x v="3"/>
    <s v="HTC Wildfire S"/>
    <s v="Sales"/>
    <n v="1014000"/>
    <n v="650000"/>
    <n v="390000"/>
    <n v="910000"/>
    <n v="1118000"/>
  </r>
  <r>
    <s v="Maharashtra"/>
    <x v="3"/>
    <s v="HTC Incredible S"/>
    <s v="Sales"/>
    <n v="1708160"/>
    <n v="251200"/>
    <n v="1833760"/>
    <n v="2059840"/>
    <n v="778720"/>
  </r>
  <r>
    <s v="Maharashtra"/>
    <x v="3"/>
    <s v="HTC Desire S"/>
    <s v="Sales"/>
    <n v="781164"/>
    <n v="499077"/>
    <n v="1844415"/>
    <n v="1670823"/>
    <n v="1670823"/>
  </r>
  <r>
    <s v="Maharashtra"/>
    <x v="4"/>
    <s v="LG Optimus Sol E730"/>
    <s v="Sales"/>
    <n v="900470"/>
    <n v="1223280"/>
    <n v="679600"/>
    <n v="220870"/>
    <n v="390770"/>
  </r>
  <r>
    <s v="Maharashtra"/>
    <x v="4"/>
    <s v="LG Optimus Net Dual P698"/>
    <s v="Sales"/>
    <n v="514451"/>
    <n v="1018403"/>
    <n v="661437"/>
    <n v="220479"/>
    <n v="220479"/>
  </r>
  <r>
    <s v="Maharashtra"/>
    <x v="4"/>
    <s v="LG Optimus 3D P920"/>
    <s v="Sales"/>
    <n v="2687800"/>
    <n v="2718000"/>
    <n v="543600"/>
    <n v="936200"/>
    <n v="2416000"/>
  </r>
  <r>
    <s v="Maharashtra"/>
    <x v="4"/>
    <s v="LG Optimus NET P690"/>
    <s v="Sales"/>
    <n v="929907"/>
    <n v="339966"/>
    <n v="949905"/>
    <n v="759924"/>
    <n v="779922"/>
  </r>
  <r>
    <s v="Maharashtra"/>
    <x v="4"/>
    <s v="LG Optimus Pro C660"/>
    <s v="Sales"/>
    <n v="931103"/>
    <n v="441554"/>
    <n v="105589"/>
    <n v="249574"/>
    <n v="172782"/>
  </r>
  <r>
    <s v="Maharashtra"/>
    <x v="4"/>
    <s v="LG Optimus Black P970"/>
    <s v="Sales"/>
    <n v="1063944"/>
    <n v="1424925"/>
    <n v="702963"/>
    <n v="1367928"/>
    <n v="740961"/>
  </r>
  <r>
    <s v="Maharashtra"/>
    <x v="4"/>
    <s v="LG Optimus 2X"/>
    <s v="Sales"/>
    <n v="1579921"/>
    <n v="859957"/>
    <n v="1759912"/>
    <n v="439978"/>
    <n v="1619919"/>
  </r>
  <r>
    <s v="Maharashtra"/>
    <x v="4"/>
    <s v="LG Optimus One P500"/>
    <s v="Sales"/>
    <n v="835710"/>
    <n v="657300"/>
    <n v="253530"/>
    <n v="723030"/>
    <n v="544620"/>
  </r>
  <r>
    <s v="Maharashtra"/>
    <x v="4"/>
    <s v="LG Optimus 5X"/>
    <s v="Sales"/>
    <n v="756000"/>
    <n v="1785000"/>
    <n v="1911000"/>
    <n v="1239000"/>
    <n v="483000"/>
  </r>
  <r>
    <s v="Maharashtra"/>
    <x v="4"/>
    <s v="LG Optimus 12X"/>
    <s v="Sales"/>
    <n v="375000"/>
    <n v="1025000"/>
    <n v="275000"/>
    <n v="1025000"/>
    <n v="1800000"/>
  </r>
  <r>
    <s v="Maharashtra"/>
    <x v="5"/>
    <s v="Motorola Razr XT910"/>
    <s v="Sales"/>
    <n v="767976"/>
    <n v="1599950"/>
    <n v="2495922"/>
    <n v="2271929"/>
    <n v="2303928"/>
  </r>
  <r>
    <s v="Maharashtra"/>
    <x v="5"/>
    <s v="Motorola Defy+"/>
    <s v="Sales"/>
    <n v="1070485"/>
    <n v="1070485"/>
    <n v="642291"/>
    <n v="757574"/>
    <n v="642291"/>
  </r>
  <r>
    <s v="Maharashtra"/>
    <x v="5"/>
    <s v="Motorola Fire XT530"/>
    <s v="Sales"/>
    <n v="259094"/>
    <n v="600627"/>
    <n v="1036376"/>
    <n v="353310"/>
    <n v="965714"/>
  </r>
  <r>
    <s v="Maharashtra"/>
    <x v="5"/>
    <s v="Motorola Brea EX119"/>
    <s v="Sales"/>
    <n v="439817"/>
    <n v="317940"/>
    <n v="270249"/>
    <n v="259651"/>
    <n v="508704"/>
  </r>
  <r>
    <s v="Maharashtra"/>
    <x v="5"/>
    <s v="Motorola Fire"/>
    <s v="Sales"/>
    <n v="329300"/>
    <n v="89000"/>
    <n v="578500"/>
    <n v="863300"/>
    <n v="320400"/>
  </r>
  <r>
    <s v="Maharashtra"/>
    <x v="5"/>
    <s v="Motorola Xoom 32GB (Wi-Fi) Tablet"/>
    <s v="Sales"/>
    <n v="1585004"/>
    <n v="357184"/>
    <n v="625072"/>
    <n v="468804"/>
    <n v="1540356"/>
  </r>
  <r>
    <s v="Maharashtra"/>
    <x v="5"/>
    <s v="Motorola Xoom 32GB (Wi-Fi+3G) Tablet"/>
    <s v="Sales"/>
    <n v="1559400"/>
    <n v="2521030"/>
    <n v="545790"/>
    <n v="1065590"/>
    <n v="259900"/>
  </r>
  <r>
    <s v="Maharashtra"/>
    <x v="5"/>
    <s v="Motorola Milestone 4GB"/>
    <s v="Sales"/>
    <n v="520000"/>
    <n v="200000"/>
    <n v="360000"/>
    <n v="1500000"/>
    <n v="1440000"/>
  </r>
  <r>
    <s v="Maharashtra"/>
    <x v="5"/>
    <s v="Motorola Milestone 16GB"/>
    <s v="Sales"/>
    <n v="1701000"/>
    <n v="1995000"/>
    <n v="651000"/>
    <n v="756000"/>
    <n v="1218000"/>
  </r>
  <r>
    <s v="Maharashtra"/>
    <x v="5"/>
    <s v="Motorola Milestone 32GB"/>
    <s v="Sales"/>
    <n v="572000"/>
    <n v="1562000"/>
    <n v="1276000"/>
    <n v="506000"/>
    <n v="286000"/>
  </r>
  <r>
    <s v="Maharashtra"/>
    <x v="6"/>
    <s v="Blackberry Bold 9790"/>
    <s v="Sales"/>
    <n v="1613450"/>
    <n v="581900"/>
    <n v="2221800"/>
    <n v="1587000"/>
    <n v="264500"/>
  </r>
  <r>
    <s v="Maharashtra"/>
    <x v="6"/>
    <s v="Blackberry Curve 9380"/>
    <s v="Sales"/>
    <n v="1883232"/>
    <n v="1098552"/>
    <n v="1883232"/>
    <n v="627744"/>
    <n v="372723"/>
  </r>
  <r>
    <s v="Maharashtra"/>
    <x v="6"/>
    <s v="Blackberry Torch 9860"/>
    <s v="Sales"/>
    <n v="1291050"/>
    <n v="1606640"/>
    <n v="573800"/>
    <n v="344280"/>
    <n v="2811620"/>
  </r>
  <r>
    <s v="Maharashtra"/>
    <x v="6"/>
    <s v="Blackberry Curve 9360"/>
    <s v="Sales"/>
    <n v="265860"/>
    <n v="854550"/>
    <n v="1253340"/>
    <n v="1633140"/>
    <n v="1728090"/>
  </r>
  <r>
    <s v="Maharashtra"/>
    <x v="6"/>
    <s v="Blackberry Torch 9810"/>
    <s v="Sales"/>
    <n v="2902530"/>
    <n v="2309540"/>
    <n v="3089790"/>
    <n v="624200"/>
    <n v="2684060"/>
  </r>
  <r>
    <s v="Maharashtra"/>
    <x v="6"/>
    <s v="Blackberry Bold 4 9900"/>
    <s v="Sales"/>
    <n v="433680"/>
    <n v="2435280"/>
    <n v="600480"/>
    <n v="400320"/>
    <n v="3002400"/>
  </r>
  <r>
    <s v="Maharashtra"/>
    <x v="6"/>
    <s v="Blackberry Playbook 64GB Wi-Fi Tablet"/>
    <s v="Sales"/>
    <n v="239988"/>
    <n v="439978"/>
    <n v="299985"/>
    <n v="1439928"/>
    <n v="1099945"/>
  </r>
  <r>
    <s v="Maharashtra"/>
    <x v="6"/>
    <s v="Blackberry Playbook 32GB Wi-Fi Tablet"/>
    <s v="Sales"/>
    <n v="300050"/>
    <n v="300050"/>
    <n v="829550"/>
    <n v="953100"/>
    <n v="1376700"/>
  </r>
  <r>
    <s v="Maharashtra"/>
    <x v="6"/>
    <s v="Blackberry Playbook 16GB Wi-Fi Tablet"/>
    <s v="Sales"/>
    <n v="1231200"/>
    <n v="516800"/>
    <n v="304000"/>
    <n v="410400"/>
    <n v="972800"/>
  </r>
  <r>
    <s v="Maharashtra"/>
    <x v="6"/>
    <s v="Blackberry Bold 9780"/>
    <s v="Sales"/>
    <n v="2019600"/>
    <n v="2088450"/>
    <n v="2157300"/>
    <n v="1514700"/>
    <n v="2226150"/>
  </r>
  <r>
    <s v="Maharashtra"/>
    <x v="7"/>
    <s v="Apple iPhone 4S 64GB"/>
    <s v="Sales"/>
    <n v="1207500"/>
    <n v="1207500"/>
    <n v="2242500"/>
    <n v="977500"/>
    <n v="4427500"/>
  </r>
  <r>
    <s v="Maharashtra"/>
    <x v="7"/>
    <s v="Apple iPhone 4S 32GB"/>
    <s v="Sales"/>
    <n v="3970200"/>
    <n v="4224700"/>
    <n v="2392300"/>
    <n v="3155800"/>
    <n v="2494100"/>
  </r>
  <r>
    <s v="Maharashtra"/>
    <x v="7"/>
    <s v="Apple iPhone 4S 16GB"/>
    <s v="Sales"/>
    <n v="934500"/>
    <n v="1513000"/>
    <n v="2492000"/>
    <n v="3515500"/>
    <n v="1068000"/>
  </r>
  <r>
    <s v="Maharashtra"/>
    <x v="7"/>
    <s v="Apple iPhone 4 8GB"/>
    <s v="Sales"/>
    <n v="2425600"/>
    <n v="1553900"/>
    <n v="1326500"/>
    <n v="909600"/>
    <n v="1591800"/>
  </r>
  <r>
    <s v="Maharashtra"/>
    <x v="7"/>
    <s v="Apple iPad 2 16GB (Wi-Fi) Tablet"/>
    <s v="Sales"/>
    <n v="1475000"/>
    <n v="1475000"/>
    <n v="2832000"/>
    <n v="2773000"/>
    <n v="826000"/>
  </r>
  <r>
    <s v="Maharashtra"/>
    <x v="7"/>
    <s v="Apple iPad 2 32GB (Wi-Fi) Tablet"/>
    <s v="Sales"/>
    <n v="2449500"/>
    <n v="3036000"/>
    <n v="1414500"/>
    <n v="1104000"/>
    <n v="1863000"/>
  </r>
  <r>
    <s v="Maharashtra"/>
    <x v="7"/>
    <s v="Apple iPad 2 64GB (Wi-Fi) Tablet"/>
    <s v="Sales"/>
    <n v="2962500"/>
    <n v="987500"/>
    <n v="1027000"/>
    <n v="395000"/>
    <n v="1975000"/>
  </r>
  <r>
    <s v="Maharashtra"/>
    <x v="7"/>
    <s v="Apple iPad 2 16GB (Wi-Fi+3G) Tablet"/>
    <s v="Sales"/>
    <n v="3505500"/>
    <n v="2841300"/>
    <n v="590400"/>
    <n v="996300"/>
    <n v="1070100"/>
  </r>
  <r>
    <s v="Maharashtra"/>
    <x v="7"/>
    <s v="Apple iPad 2 32GB (Wi-Fi+3G) Tablet"/>
    <s v="Sales"/>
    <n v="1717900"/>
    <n v="2597800"/>
    <n v="544700"/>
    <n v="3016800"/>
    <n v="838000"/>
  </r>
  <r>
    <s v="Maharashtra"/>
    <x v="7"/>
    <s v="Apple iPad 2 64GB (Wi-Fi+3G) Tablet"/>
    <s v="Sales"/>
    <n v="2860900"/>
    <n v="891100"/>
    <n v="2954700"/>
    <n v="4502400"/>
    <n v="891100"/>
  </r>
  <r>
    <s v="Tamil Nadu"/>
    <x v="0"/>
    <s v="Nokia Lumia 800"/>
    <s v="Sales"/>
    <n v="2489917"/>
    <n v="1079964"/>
    <n v="2999900"/>
    <n v="1649945"/>
    <n v="1649945"/>
  </r>
  <r>
    <s v="Tamil Nadu"/>
    <x v="0"/>
    <s v="Nokia Lumia 710"/>
    <s v="Sales"/>
    <n v="1208823"/>
    <n v="1475706"/>
    <n v="1538502"/>
    <n v="769251"/>
    <n v="816348"/>
  </r>
  <r>
    <s v="Tamil Nadu"/>
    <x v="0"/>
    <s v="Nokia 603"/>
    <s v="Sales"/>
    <n v="925440"/>
    <n v="347040"/>
    <n v="1272480"/>
    <n v="375960"/>
    <n v="1229100"/>
  </r>
  <r>
    <s v="Tamil Nadu"/>
    <x v="0"/>
    <s v="Nokia 701"/>
    <s v="Sales"/>
    <n v="1512911"/>
    <n v="509970"/>
    <n v="1291924"/>
    <n v="1002941"/>
    <n v="1648903"/>
  </r>
  <r>
    <s v="Tamil Nadu"/>
    <x v="0"/>
    <s v="Nokia 500 Fate"/>
    <s v="Sales"/>
    <n v="581025"/>
    <n v="285750"/>
    <n v="495300"/>
    <n v="171450"/>
    <n v="923925"/>
  </r>
  <r>
    <s v="Tamil Nadu"/>
    <x v="0"/>
    <s v="Nokia E6"/>
    <s v="Sales"/>
    <n v="1350900"/>
    <n v="256500"/>
    <n v="957600"/>
    <n v="1436400"/>
    <n v="769500"/>
  </r>
  <r>
    <s v="Tamil Nadu"/>
    <x v="0"/>
    <s v="Nokia X7"/>
    <s v="Sales"/>
    <n v="1422770"/>
    <n v="818580"/>
    <n v="1793080"/>
    <n v="1364300"/>
    <n v="1910020"/>
  </r>
  <r>
    <s v="Tamil Nadu"/>
    <x v="0"/>
    <s v="Nokia E7"/>
    <s v="Sales"/>
    <n v="870840"/>
    <n v="1354640"/>
    <n v="580560"/>
    <n v="2370620"/>
    <n v="532180"/>
  </r>
  <r>
    <s v="Tamil Nadu"/>
    <x v="0"/>
    <s v="Nokia C3-01"/>
    <s v="Sales"/>
    <n v="327590"/>
    <n v="191760"/>
    <n v="607240"/>
    <n v="303620"/>
    <n v="335580"/>
  </r>
  <r>
    <s v="Tamil Nadu"/>
    <x v="0"/>
    <s v="Nokia E5"/>
    <s v="Sales"/>
    <n v="181800"/>
    <n v="536310"/>
    <n v="399960"/>
    <n v="272700"/>
    <n v="127260"/>
  </r>
  <r>
    <s v="Tamil Nadu"/>
    <x v="1"/>
    <s v="Samsung Omnia W I8350"/>
    <s v="Sales"/>
    <n v="1486716"/>
    <n v="831853"/>
    <n v="300883"/>
    <n v="654863"/>
    <n v="1061940"/>
  </r>
  <r>
    <s v="Tamil Nadu"/>
    <x v="1"/>
    <s v="Samsung Galaxy Tab 620"/>
    <s v="Sales"/>
    <n v="1457445"/>
    <n v="2093421"/>
    <n v="1722435"/>
    <n v="1271952"/>
    <n v="1086459"/>
  </r>
  <r>
    <s v="Tamil Nadu"/>
    <x v="1"/>
    <s v="Samsung Wave III S8600"/>
    <s v="Sales"/>
    <n v="1572080"/>
    <n v="402160"/>
    <n v="1407560"/>
    <n v="237640"/>
    <n v="1645200"/>
  </r>
  <r>
    <s v="Tamil Nadu"/>
    <x v="1"/>
    <s v="Samsung Wave Y S5380"/>
    <s v="Sales"/>
    <n v="456960"/>
    <n v="606900"/>
    <n v="371280"/>
    <n v="521220"/>
    <n v="349860"/>
  </r>
  <r>
    <s v="Tamil Nadu"/>
    <x v="1"/>
    <s v="Samsung Galaxy Tab 730"/>
    <s v="Sales"/>
    <n v="2546400"/>
    <n v="2387250"/>
    <n v="2132610"/>
    <n v="2100780"/>
    <n v="2291760"/>
  </r>
  <r>
    <s v="Tamil Nadu"/>
    <x v="1"/>
    <s v="Samsung Galaxy Note GT-N7000"/>
    <s v="Sales"/>
    <n v="2812200"/>
    <n v="3270000"/>
    <n v="3237300"/>
    <n v="2648700"/>
    <n v="2550600"/>
  </r>
  <r>
    <s v="Tamil Nadu"/>
    <x v="1"/>
    <s v="Samsung Galaxy R I9103"/>
    <s v="Sales"/>
    <n v="1361750"/>
    <n v="1026550"/>
    <n v="335200"/>
    <n v="607550"/>
    <n v="230450"/>
  </r>
  <r>
    <s v="Tamil Nadu"/>
    <x v="1"/>
    <s v="Samsung Galaxy S Plus I9001"/>
    <s v="Sales"/>
    <n v="1251492"/>
    <n v="988020"/>
    <n v="439120"/>
    <n v="439120"/>
    <n v="1844304"/>
  </r>
  <r>
    <s v="Tamil Nadu"/>
    <x v="1"/>
    <s v="Samsung Galaxy Y S5360"/>
    <s v="Sales"/>
    <n v="179760"/>
    <n v="269640"/>
    <n v="254660"/>
    <n v="359520"/>
    <n v="329560"/>
  </r>
  <r>
    <s v="Tamil Nadu"/>
    <x v="1"/>
    <s v="Samsung Galaxy S II"/>
    <s v="Sales"/>
    <n v="1691250"/>
    <n v="1045500"/>
    <n v="984000"/>
    <n v="2552250"/>
    <n v="2829000"/>
  </r>
  <r>
    <s v="Tamil Nadu"/>
    <x v="2"/>
    <s v="Sony Ericsson Live WT19i"/>
    <s v="Sales"/>
    <n v="897900"/>
    <n v="934800"/>
    <n v="1205400"/>
    <n v="221400"/>
    <n v="159900"/>
  </r>
  <r>
    <s v="Tamil Nadu"/>
    <x v="2"/>
    <s v="Sony Ericsson Xperia Arc S"/>
    <s v="Sales"/>
    <n v="2548000"/>
    <n v="2016000"/>
    <n v="1764000"/>
    <n v="504000"/>
    <n v="1176000"/>
  </r>
  <r>
    <s v="Tamil Nadu"/>
    <x v="2"/>
    <s v="Sony Ericsson Xperia Pro"/>
    <s v="Sales"/>
    <n v="961440"/>
    <n v="320480"/>
    <n v="280420"/>
    <n v="620930"/>
    <n v="640960"/>
  </r>
  <r>
    <s v="Tamil Nadu"/>
    <x v="2"/>
    <s v="Sony Ericsson Xperia Active ST17i"/>
    <s v="Sales"/>
    <n v="257400"/>
    <n v="712800"/>
    <n v="475200"/>
    <n v="1564200"/>
    <n v="871200"/>
  </r>
  <r>
    <s v="Tamil Nadu"/>
    <x v="2"/>
    <s v="Sony Ericsson Xperia Neo V"/>
    <s v="Sales"/>
    <n v="1566000"/>
    <n v="360000"/>
    <n v="1530000"/>
    <n v="1314000"/>
    <n v="1332000"/>
  </r>
  <r>
    <s v="Tamil Nadu"/>
    <x v="2"/>
    <s v="Sony Ericsson Xperia Ray ST18i"/>
    <s v="Sales"/>
    <n v="1346730"/>
    <n v="1591590"/>
    <n v="664620"/>
    <n v="1714020"/>
    <n v="1521630"/>
  </r>
  <r>
    <s v="Tamil Nadu"/>
    <x v="2"/>
    <s v="Sony Ericsson Xperia Mini Pro SK17i"/>
    <s v="Sales"/>
    <n v="569490"/>
    <n v="1333440"/>
    <n v="1055640"/>
    <n v="888960"/>
    <n v="1138980"/>
  </r>
  <r>
    <s v="Tamil Nadu"/>
    <x v="2"/>
    <s v="Sony Ericsson Xperia Mini ST15i"/>
    <s v="Sales"/>
    <n v="994610"/>
    <n v="1044970"/>
    <n v="377700"/>
    <n v="402880"/>
    <n v="793170"/>
  </r>
  <r>
    <s v="Tamil Nadu"/>
    <x v="2"/>
    <s v="Sony Ericsson Fengli txt pro CK15i"/>
    <s v="Sales"/>
    <n v="554445"/>
    <n v="431235"/>
    <n v="410700"/>
    <n v="609205"/>
    <n v="431235"/>
  </r>
  <r>
    <s v="Tamil Nadu"/>
    <x v="2"/>
    <s v="Sony Ericsson Xperia 32GB"/>
    <s v="Sales"/>
    <n v="180000"/>
    <n v="225000"/>
    <n v="75000"/>
    <n v="697500"/>
    <n v="142500"/>
  </r>
  <r>
    <s v="Tamil Nadu"/>
    <x v="3"/>
    <s v="HTC Sensation XE"/>
    <s v="Sales"/>
    <n v="2414300"/>
    <n v="689800"/>
    <n v="1724500"/>
    <n v="724290"/>
    <n v="1000210"/>
  </r>
  <r>
    <s v="Tamil Nadu"/>
    <x v="3"/>
    <s v="HTC Rhyme (Sea Glass)"/>
    <s v="Sales"/>
    <n v="337350"/>
    <n v="2050050"/>
    <n v="1115850"/>
    <n v="1868400"/>
    <n v="1453200"/>
  </r>
  <r>
    <s v="Tamil Nadu"/>
    <x v="3"/>
    <s v="HTC Radar"/>
    <s v="Sales"/>
    <n v="1391420"/>
    <n v="1847230"/>
    <n v="2183090"/>
    <n v="575760"/>
    <n v="599750"/>
  </r>
  <r>
    <s v="Tamil Nadu"/>
    <x v="3"/>
    <s v="HTC Explorer"/>
    <s v="Sales"/>
    <n v="769930"/>
    <n v="681938"/>
    <n v="395964"/>
    <n v="1066903"/>
    <n v="978911"/>
  </r>
  <r>
    <s v="Tamil Nadu"/>
    <x v="3"/>
    <s v="HTC Evo 3D"/>
    <s v="Sales"/>
    <n v="2975000"/>
    <n v="735000"/>
    <n v="2625000"/>
    <n v="1295000"/>
    <n v="3255000"/>
  </r>
  <r>
    <s v="Tamil Nadu"/>
    <x v="3"/>
    <s v="HTC ChaCha"/>
    <s v="Sales"/>
    <n v="762439"/>
    <n v="687445"/>
    <n v="899928"/>
    <n v="437465"/>
    <n v="674946"/>
  </r>
  <r>
    <s v="Tamil Nadu"/>
    <x v="3"/>
    <s v="HTC Sensation"/>
    <s v="Sales"/>
    <n v="355200"/>
    <n v="888000"/>
    <n v="1864800"/>
    <n v="1805600"/>
    <n v="1657600"/>
  </r>
  <r>
    <s v="Tamil Nadu"/>
    <x v="3"/>
    <s v="HTC Wildfire S"/>
    <s v="Sales"/>
    <n v="338000"/>
    <n v="1287000"/>
    <n v="208000"/>
    <n v="1144000"/>
    <n v="455000"/>
  </r>
  <r>
    <s v="Tamil Nadu"/>
    <x v="3"/>
    <s v="HTC Incredible S"/>
    <s v="Sales"/>
    <n v="552640"/>
    <n v="2210560"/>
    <n v="452160"/>
    <n v="2059840"/>
    <n v="1934240"/>
  </r>
  <r>
    <s v="Tamil Nadu"/>
    <x v="3"/>
    <s v="HTC Desire S"/>
    <s v="Sales"/>
    <n v="1779318"/>
    <n v="1605726"/>
    <n v="650970"/>
    <n v="520776"/>
    <n v="1866114"/>
  </r>
  <r>
    <s v="Tamil Nadu"/>
    <x v="4"/>
    <s v="LG Optimus Sol E730"/>
    <s v="Sales"/>
    <n v="696590"/>
    <n v="220870"/>
    <n v="543680"/>
    <n v="509700"/>
    <n v="883480"/>
  </r>
  <r>
    <s v="Tamil Nadu"/>
    <x v="4"/>
    <s v="LG Optimus Net Dual P698"/>
    <s v="Sales"/>
    <n v="1018403"/>
    <n v="440958"/>
    <n v="125988"/>
    <n v="619441"/>
    <n v="503952"/>
  </r>
  <r>
    <s v="Tamil Nadu"/>
    <x v="4"/>
    <s v="LG Optimus 3D P920"/>
    <s v="Sales"/>
    <n v="1479800"/>
    <n v="3020000"/>
    <n v="2416000"/>
    <n v="755000"/>
    <n v="936200"/>
  </r>
  <r>
    <s v="Tamil Nadu"/>
    <x v="4"/>
    <s v="LG Optimus NET P690"/>
    <s v="Sales"/>
    <n v="989901"/>
    <n v="329967"/>
    <n v="389961"/>
    <n v="349965"/>
    <n v="309969"/>
  </r>
  <r>
    <s v="Tamil Nadu"/>
    <x v="4"/>
    <s v="LG Optimus Pro C660"/>
    <s v="Sales"/>
    <n v="172782"/>
    <n v="758321"/>
    <n v="844712"/>
    <n v="566341"/>
    <n v="412757"/>
  </r>
  <r>
    <s v="Tamil Nadu"/>
    <x v="4"/>
    <s v="LG Optimus Black P970"/>
    <s v="Sales"/>
    <n v="1025946"/>
    <n v="1842903"/>
    <n v="1367928"/>
    <n v="1842903"/>
    <n v="721962"/>
  </r>
  <r>
    <s v="Tamil Nadu"/>
    <x v="4"/>
    <s v="LG Optimus 2X"/>
    <s v="Sales"/>
    <n v="459977"/>
    <n v="439978"/>
    <n v="1699915"/>
    <n v="1179941"/>
    <n v="579971"/>
  </r>
  <r>
    <s v="Tamil Nadu"/>
    <x v="4"/>
    <s v="LG Optimus One P500"/>
    <s v="Sales"/>
    <n v="338040"/>
    <n v="582180"/>
    <n v="845100"/>
    <n v="666690"/>
    <n v="535230"/>
  </r>
  <r>
    <s v="Tamil Nadu"/>
    <x v="4"/>
    <s v="LG Optimus 5X"/>
    <s v="Sales"/>
    <n v="1050000"/>
    <n v="1176000"/>
    <n v="1617000"/>
    <n v="756000"/>
    <n v="1533000"/>
  </r>
  <r>
    <s v="Tamil Nadu"/>
    <x v="4"/>
    <s v="LG Optimus 12X"/>
    <s v="Sales"/>
    <n v="275000"/>
    <n v="2275000"/>
    <n v="1025000"/>
    <n v="1100000"/>
    <n v="2325000"/>
  </r>
  <r>
    <s v="Tamil Nadu"/>
    <x v="5"/>
    <s v="Motorola Razr XT910"/>
    <s v="Sales"/>
    <n v="2655917"/>
    <n v="1983938"/>
    <n v="2047936"/>
    <n v="3199900"/>
    <n v="3103903"/>
  </r>
  <r>
    <s v="Tamil Nadu"/>
    <x v="5"/>
    <s v="Motorola Defy+"/>
    <s v="Sales"/>
    <n v="1350458"/>
    <n v="609353"/>
    <n v="197628"/>
    <n v="856388"/>
    <n v="1449272"/>
  </r>
  <r>
    <s v="Tamil Nadu"/>
    <x v="5"/>
    <s v="Motorola Fire XT530"/>
    <s v="Sales"/>
    <n v="329756"/>
    <n v="1036376"/>
    <n v="1036376"/>
    <n v="1024599"/>
    <n v="588850"/>
  </r>
  <r>
    <s v="Tamil Nadu"/>
    <x v="5"/>
    <s v="Motorola Brea EX119"/>
    <s v="Sales"/>
    <n v="450415"/>
    <n v="84784"/>
    <n v="471611"/>
    <n v="227857"/>
    <n v="116578"/>
  </r>
  <r>
    <s v="Tamil Nadu"/>
    <x v="5"/>
    <s v="Motorola Fire"/>
    <s v="Sales"/>
    <n v="694200"/>
    <n v="436100"/>
    <n v="302600"/>
    <n v="418300"/>
    <n v="195800"/>
  </r>
  <r>
    <s v="Tamil Nadu"/>
    <x v="5"/>
    <s v="Motorola Xoom 32GB (Wi-Fi) Tablet"/>
    <s v="Sales"/>
    <n v="223240"/>
    <n v="781340"/>
    <n v="647396"/>
    <n v="915284"/>
    <n v="982256"/>
  </r>
  <r>
    <s v="Tamil Nadu"/>
    <x v="5"/>
    <s v="Motorola Xoom 32GB (Wi-Fi+3G) Tablet"/>
    <s v="Sales"/>
    <n v="1507420"/>
    <n v="1819300"/>
    <n v="1819300"/>
    <n v="1507420"/>
    <n v="2261130"/>
  </r>
  <r>
    <s v="Tamil Nadu"/>
    <x v="5"/>
    <s v="Motorola Milestone 4GB"/>
    <s v="Sales"/>
    <n v="1280000"/>
    <n v="1360000"/>
    <n v="1260000"/>
    <n v="1360000"/>
    <n v="1120000"/>
  </r>
  <r>
    <s v="Tamil Nadu"/>
    <x v="5"/>
    <s v="Motorola Milestone 16GB"/>
    <s v="Sales"/>
    <n v="1407000"/>
    <n v="1386000"/>
    <n v="651000"/>
    <n v="672000"/>
    <n v="1722000"/>
  </r>
  <r>
    <s v="Tamil Nadu"/>
    <x v="5"/>
    <s v="Motorola Milestone 32GB"/>
    <s v="Sales"/>
    <n v="1210000"/>
    <n v="726000"/>
    <n v="2024000"/>
    <n v="616000"/>
    <n v="1408000"/>
  </r>
  <r>
    <s v="Tamil Nadu"/>
    <x v="6"/>
    <s v="Blackberry Bold 9790"/>
    <s v="Sales"/>
    <n v="1296050"/>
    <n v="555450"/>
    <n v="2539200"/>
    <n v="1560550"/>
    <n v="1825050"/>
  </r>
  <r>
    <s v="Tamil Nadu"/>
    <x v="6"/>
    <s v="Blackberry Curve 9380"/>
    <s v="Sales"/>
    <n v="1922466"/>
    <n v="1608594"/>
    <n v="1275105"/>
    <n v="1667445"/>
    <n v="1628211"/>
  </r>
  <r>
    <s v="Tamil Nadu"/>
    <x v="6"/>
    <s v="Blackberry Torch 9860"/>
    <s v="Sales"/>
    <n v="2754240"/>
    <n v="1090220"/>
    <n v="2409960"/>
    <n v="2496030"/>
    <n v="2668170"/>
  </r>
  <r>
    <s v="Tamil Nadu"/>
    <x v="6"/>
    <s v="Blackberry Curve 9360"/>
    <s v="Sales"/>
    <n v="1671120"/>
    <n v="550710"/>
    <n v="455760"/>
    <n v="1177380"/>
    <n v="1766070"/>
  </r>
  <r>
    <s v="Tamil Nadu"/>
    <x v="6"/>
    <s v="Blackberry Torch 9810"/>
    <s v="Sales"/>
    <n v="499360"/>
    <n v="1217190"/>
    <n v="499360"/>
    <n v="3089790"/>
    <n v="2403170"/>
  </r>
  <r>
    <s v="Tamil Nadu"/>
    <x v="6"/>
    <s v="Blackberry Bold 4 9900"/>
    <s v="Sales"/>
    <n v="433680"/>
    <n v="3002400"/>
    <n v="1601280"/>
    <n v="2868960"/>
    <n v="1334400"/>
  </r>
  <r>
    <s v="Tamil Nadu"/>
    <x v="6"/>
    <s v="Blackberry Playbook 64GB Wi-Fi Tablet"/>
    <s v="Sales"/>
    <n v="1939903"/>
    <n v="759962"/>
    <n v="1599920"/>
    <n v="319984"/>
    <n v="439978"/>
  </r>
  <r>
    <s v="Tamil Nadu"/>
    <x v="6"/>
    <s v="Blackberry Playbook 32GB Wi-Fi Tablet"/>
    <s v="Sales"/>
    <n v="1606150"/>
    <n v="1376700"/>
    <n v="511850"/>
    <n v="1464950"/>
    <n v="635400"/>
  </r>
  <r>
    <s v="Tamil Nadu"/>
    <x v="6"/>
    <s v="Blackberry Playbook 16GB Wi-Fi Tablet"/>
    <s v="Sales"/>
    <n v="942400"/>
    <n v="1200800"/>
    <n v="1307200"/>
    <n v="896800"/>
    <n v="623200"/>
  </r>
  <r>
    <s v="Tamil Nadu"/>
    <x v="6"/>
    <s v="Blackberry Bold 9780"/>
    <s v="Sales"/>
    <n v="1836000"/>
    <n v="1652400"/>
    <n v="321300"/>
    <n v="367200"/>
    <n v="481950"/>
  </r>
  <r>
    <s v="Tamil Nadu"/>
    <x v="7"/>
    <s v="Apple iPhone 4S 64GB"/>
    <s v="Sales"/>
    <n v="3392500"/>
    <n v="1840000"/>
    <n v="1035000"/>
    <n v="4427500"/>
    <n v="747500"/>
  </r>
  <r>
    <s v="Tamil Nadu"/>
    <x v="7"/>
    <s v="Apple iPhone 4S 32GB"/>
    <s v="Sales"/>
    <n v="3817500"/>
    <n v="2850400"/>
    <n v="3613900"/>
    <n v="2188700"/>
    <n v="2239600"/>
  </r>
  <r>
    <s v="Tamil Nadu"/>
    <x v="7"/>
    <s v="Apple iPhone 4S 16GB"/>
    <s v="Sales"/>
    <n v="801000"/>
    <n v="1290500"/>
    <n v="3649000"/>
    <n v="4005000"/>
    <n v="534000"/>
  </r>
  <r>
    <s v="Tamil Nadu"/>
    <x v="7"/>
    <s v="Apple iPhone 4 8GB"/>
    <s v="Sales"/>
    <n v="2311900"/>
    <n v="2008700"/>
    <n v="1023300"/>
    <n v="985400"/>
    <n v="2122400"/>
  </r>
  <r>
    <s v="Tamil Nadu"/>
    <x v="7"/>
    <s v="Apple iPad 2 16GB (Wi-Fi) Tablet"/>
    <s v="Sales"/>
    <n v="1091500"/>
    <n v="560500"/>
    <n v="1799500"/>
    <n v="1917500"/>
    <n v="1917500"/>
  </r>
  <r>
    <s v="Tamil Nadu"/>
    <x v="7"/>
    <s v="Apple iPad 2 32GB (Wi-Fi) Tablet"/>
    <s v="Sales"/>
    <n v="2622000"/>
    <n v="1932000"/>
    <n v="2622000"/>
    <n v="3001500"/>
    <n v="1104000"/>
  </r>
  <r>
    <s v="Tamil Nadu"/>
    <x v="7"/>
    <s v="Apple iPad 2 64GB (Wi-Fi) Tablet"/>
    <s v="Sales"/>
    <n v="2725500"/>
    <n v="3081000"/>
    <n v="2686000"/>
    <n v="3436500"/>
    <n v="3199500"/>
  </r>
  <r>
    <s v="Tamil Nadu"/>
    <x v="7"/>
    <s v="Apple iPad 2 16GB (Wi-Fi+3G) Tablet"/>
    <s v="Sales"/>
    <n v="3690000"/>
    <n v="1070100"/>
    <n v="3579300"/>
    <n v="2250900"/>
    <n v="2250900"/>
  </r>
  <r>
    <s v="Tamil Nadu"/>
    <x v="7"/>
    <s v="Apple iPad 2 32GB (Wi-Fi+3G) Tablet"/>
    <s v="Sales"/>
    <n v="2514000"/>
    <n v="3812900"/>
    <n v="3729100"/>
    <n v="419000"/>
    <n v="2597800"/>
  </r>
  <r>
    <s v="Tamil Nadu"/>
    <x v="7"/>
    <s v="Apple iPad 2 64GB (Wi-Fi+3G) Tablet"/>
    <s v="Sales"/>
    <n v="4361700"/>
    <n v="2063600"/>
    <n v="3658200"/>
    <n v="1313200"/>
    <n v="4643100"/>
  </r>
  <r>
    <s v="New Delhi"/>
    <x v="0"/>
    <s v="Nokia Lumia 800"/>
    <s v="Sales"/>
    <n v="1319956"/>
    <n v="1439952"/>
    <n v="2039932"/>
    <n v="1559948"/>
    <n v="2819906"/>
  </r>
  <r>
    <s v="New Delhi"/>
    <x v="0"/>
    <s v="Nokia Lumia 710"/>
    <s v="Sales"/>
    <n v="219786"/>
    <n v="1146027"/>
    <n v="973338"/>
    <n v="266883"/>
    <n v="1177425"/>
  </r>
  <r>
    <s v="New Delhi"/>
    <x v="0"/>
    <s v="Nokia 603"/>
    <s v="Sales"/>
    <n v="477180"/>
    <n v="332580"/>
    <n v="679620"/>
    <n v="520560"/>
    <n v="159060"/>
  </r>
  <r>
    <s v="New Delhi"/>
    <x v="0"/>
    <s v="Nokia 701"/>
    <s v="Sales"/>
    <n v="475972"/>
    <n v="1393918"/>
    <n v="662961"/>
    <n v="1529910"/>
    <n v="832951"/>
  </r>
  <r>
    <s v="New Delhi"/>
    <x v="0"/>
    <s v="Nokia 500 Fate"/>
    <s v="Sales"/>
    <n v="685800"/>
    <n v="695325"/>
    <n v="790575"/>
    <n v="523875"/>
    <n v="180975"/>
  </r>
  <r>
    <s v="New Delhi"/>
    <x v="0"/>
    <s v="Nokia E6"/>
    <s v="Sales"/>
    <n v="649800"/>
    <n v="376200"/>
    <n v="324900"/>
    <n v="684000"/>
    <n v="273600"/>
  </r>
  <r>
    <s v="New Delhi"/>
    <x v="0"/>
    <s v="Nokia X7"/>
    <s v="Sales"/>
    <n v="448270"/>
    <n v="857560"/>
    <n v="1617670"/>
    <n v="545720"/>
    <n v="565210"/>
  </r>
  <r>
    <s v="New Delhi"/>
    <x v="0"/>
    <s v="Nokia E7"/>
    <s v="Sales"/>
    <n v="2201290"/>
    <n v="1572350"/>
    <n v="628940"/>
    <n v="1814250"/>
    <n v="1233690"/>
  </r>
  <r>
    <s v="New Delhi"/>
    <x v="0"/>
    <s v="Nokia C3-01"/>
    <s v="Sales"/>
    <n v="487390"/>
    <n v="687140"/>
    <n v="335580"/>
    <n v="679150"/>
    <n v="343570"/>
  </r>
  <r>
    <s v="New Delhi"/>
    <x v="0"/>
    <s v="Nokia E5"/>
    <s v="Sales"/>
    <n v="781740"/>
    <n v="863550"/>
    <n v="445410"/>
    <n v="281790"/>
    <n v="345420"/>
  </r>
  <r>
    <s v="New Delhi"/>
    <x v="1"/>
    <s v="Samsung Omnia W I8350"/>
    <s v="Sales"/>
    <n v="176990"/>
    <n v="707960"/>
    <n v="867251"/>
    <n v="1362823"/>
    <n v="230087"/>
  </r>
  <r>
    <s v="New Delhi"/>
    <x v="1"/>
    <s v="Samsung Galaxy Tab 620"/>
    <s v="Sales"/>
    <n v="2278914"/>
    <n v="2543904"/>
    <n v="768471"/>
    <n v="741972"/>
    <n v="635976"/>
  </r>
  <r>
    <s v="New Delhi"/>
    <x v="1"/>
    <s v="Samsung Wave III S8600"/>
    <s v="Sales"/>
    <n v="914000"/>
    <n v="548400"/>
    <n v="603240"/>
    <n v="731200"/>
    <n v="1023680"/>
  </r>
  <r>
    <s v="New Delhi"/>
    <x v="1"/>
    <s v="Samsung Wave Y S5380"/>
    <s v="Sales"/>
    <n v="178500"/>
    <n v="506940"/>
    <n v="257040"/>
    <n v="278460"/>
    <n v="571200"/>
  </r>
  <r>
    <s v="New Delhi"/>
    <x v="1"/>
    <s v="Samsung Galaxy Tab 730"/>
    <s v="Sales"/>
    <n v="1718820"/>
    <n v="509280"/>
    <n v="1973460"/>
    <n v="954900"/>
    <n v="1814310"/>
  </r>
  <r>
    <s v="New Delhi"/>
    <x v="1"/>
    <s v="Samsung Galaxy Note GT-N7000"/>
    <s v="Sales"/>
    <n v="1144500"/>
    <n v="948300"/>
    <n v="981000"/>
    <n v="425100"/>
    <n v="1177200"/>
  </r>
  <r>
    <s v="New Delhi"/>
    <x v="1"/>
    <s v="Samsung Galaxy R I9103"/>
    <s v="Sales"/>
    <n v="1738850"/>
    <n v="1340800"/>
    <n v="356150"/>
    <n v="1717900"/>
    <n v="230450"/>
  </r>
  <r>
    <s v="New Delhi"/>
    <x v="1"/>
    <s v="Samsung Galaxy S Plus I9001"/>
    <s v="Sales"/>
    <n v="1910172"/>
    <n v="1822348"/>
    <n v="1646700"/>
    <n v="2173644"/>
    <n v="395208"/>
  </r>
  <r>
    <s v="New Delhi"/>
    <x v="1"/>
    <s v="Samsung Galaxy Y S5360"/>
    <s v="Sales"/>
    <n v="741510"/>
    <n v="599200"/>
    <n v="292110"/>
    <n v="352030"/>
    <n v="262150"/>
  </r>
  <r>
    <s v="New Delhi"/>
    <x v="1"/>
    <s v="Samsung Galaxy S II"/>
    <s v="Sales"/>
    <n v="2121750"/>
    <n v="2552250"/>
    <n v="2952000"/>
    <n v="2829000"/>
    <n v="861000"/>
  </r>
  <r>
    <s v="New Delhi"/>
    <x v="2"/>
    <s v="Sony Ericsson Live WT19i"/>
    <s v="Sales"/>
    <n v="1131600"/>
    <n v="578100"/>
    <n v="725700"/>
    <n v="762600"/>
    <n v="725700"/>
  </r>
  <r>
    <s v="New Delhi"/>
    <x v="2"/>
    <s v="Sony Ericsson Xperia Arc S"/>
    <s v="Sales"/>
    <n v="924000"/>
    <n v="1316000"/>
    <n v="1764000"/>
    <n v="2044000"/>
    <n v="2268000"/>
  </r>
  <r>
    <s v="New Delhi"/>
    <x v="2"/>
    <s v="Sony Ericsson Xperia Pro"/>
    <s v="Sales"/>
    <n v="340510"/>
    <n v="240360"/>
    <n v="1722580"/>
    <n v="901350"/>
    <n v="1782670"/>
  </r>
  <r>
    <s v="New Delhi"/>
    <x v="2"/>
    <s v="Sony Ericsson Xperia Active ST17i"/>
    <s v="Sales"/>
    <n v="574200"/>
    <n v="1445400"/>
    <n v="1544400"/>
    <n v="1346400"/>
    <n v="1643400"/>
  </r>
  <r>
    <s v="New Delhi"/>
    <x v="2"/>
    <s v="Sony Ericsson Xperia Neo V"/>
    <s v="Sales"/>
    <n v="198000"/>
    <n v="540000"/>
    <n v="936000"/>
    <n v="738000"/>
    <n v="1476000"/>
  </r>
  <r>
    <s v="New Delhi"/>
    <x v="2"/>
    <s v="Sony Ericsson Xperia Ray ST18i"/>
    <s v="Sales"/>
    <n v="1556610"/>
    <n v="367290"/>
    <n v="332310"/>
    <n v="1416690"/>
    <n v="1031910"/>
  </r>
  <r>
    <s v="New Delhi"/>
    <x v="2"/>
    <s v="Sony Ericsson Xperia Mini Pro SK17i"/>
    <s v="Sales"/>
    <n v="1375110"/>
    <n v="777840"/>
    <n v="1069530"/>
    <n v="583380"/>
    <n v="736170"/>
  </r>
  <r>
    <s v="New Delhi"/>
    <x v="2"/>
    <s v="Sony Ericsson Xperia Mini ST15i"/>
    <s v="Sales"/>
    <n v="642090"/>
    <n v="1145690"/>
    <n v="1259000"/>
    <n v="1246410"/>
    <n v="276980"/>
  </r>
  <r>
    <s v="New Delhi"/>
    <x v="2"/>
    <s v="Sony Ericsson Fengli txt pro CK15i"/>
    <s v="Sales"/>
    <n v="301180"/>
    <n v="225885"/>
    <n v="574980"/>
    <n v="335405"/>
    <n v="123210"/>
  </r>
  <r>
    <s v="New Delhi"/>
    <x v="2"/>
    <s v="Sony Ericsson Xperia 32GB"/>
    <s v="Sales"/>
    <n v="577500"/>
    <n v="225000"/>
    <n v="585000"/>
    <n v="90000"/>
    <n v="315000"/>
  </r>
  <r>
    <s v="New Delhi"/>
    <x v="3"/>
    <s v="HTC Sensation XE"/>
    <s v="Sales"/>
    <n v="1552050"/>
    <n v="2828180"/>
    <n v="1276130"/>
    <n v="1586540"/>
    <n v="655310"/>
  </r>
  <r>
    <s v="New Delhi"/>
    <x v="3"/>
    <s v="HTC Rhyme (Sea Glass)"/>
    <s v="Sales"/>
    <n v="986100"/>
    <n v="1167750"/>
    <n v="1868400"/>
    <n v="1193700"/>
    <n v="1297500"/>
  </r>
  <r>
    <s v="New Delhi"/>
    <x v="3"/>
    <s v="HTC Radar"/>
    <s v="Sales"/>
    <n v="1343440"/>
    <n v="1823240"/>
    <n v="1175510"/>
    <n v="2207080"/>
    <n v="383840"/>
  </r>
  <r>
    <s v="New Delhi"/>
    <x v="3"/>
    <s v="HTC Explorer"/>
    <s v="Sales"/>
    <n v="494955"/>
    <n v="274975"/>
    <n v="549950"/>
    <n v="571948"/>
    <n v="780929"/>
  </r>
  <r>
    <s v="New Delhi"/>
    <x v="3"/>
    <s v="HTC Evo 3D"/>
    <s v="Sales"/>
    <n v="1575000"/>
    <n v="2275000"/>
    <n v="1470000"/>
    <n v="3395000"/>
    <n v="3150000"/>
  </r>
  <r>
    <s v="New Delhi"/>
    <x v="3"/>
    <s v="HTC ChaCha"/>
    <s v="Sales"/>
    <n v="662447"/>
    <n v="874930"/>
    <n v="987421"/>
    <n v="524958"/>
    <n v="162487"/>
  </r>
  <r>
    <s v="New Delhi"/>
    <x v="3"/>
    <s v="HTC Sensation"/>
    <s v="Sales"/>
    <n v="2308800"/>
    <n v="384800"/>
    <n v="1420800"/>
    <n v="2101600"/>
    <n v="828800"/>
  </r>
  <r>
    <s v="New Delhi"/>
    <x v="3"/>
    <s v="HTC Wildfire S"/>
    <s v="Sales"/>
    <n v="1144000"/>
    <n v="598000"/>
    <n v="754000"/>
    <n v="390000"/>
    <n v="1144000"/>
  </r>
  <r>
    <s v="New Delhi"/>
    <x v="3"/>
    <s v="HTC Incredible S"/>
    <s v="Sales"/>
    <n v="2235680"/>
    <n v="828960"/>
    <n v="929440"/>
    <n v="904320"/>
    <n v="1356480"/>
  </r>
  <r>
    <s v="New Delhi"/>
    <x v="3"/>
    <s v="HTC Desire S"/>
    <s v="Sales"/>
    <n v="2018007"/>
    <n v="1410435"/>
    <n v="1019853"/>
    <n v="1952910"/>
    <n v="1171746"/>
  </r>
  <r>
    <s v="New Delhi"/>
    <x v="4"/>
    <s v="LG Optimus Sol E730"/>
    <s v="Sales"/>
    <n v="611640"/>
    <n v="441740"/>
    <n v="900470"/>
    <n v="1444150"/>
    <n v="1478130"/>
  </r>
  <r>
    <s v="New Delhi"/>
    <x v="4"/>
    <s v="LG Optimus Net Dual P698"/>
    <s v="Sales"/>
    <n v="755928"/>
    <n v="934411"/>
    <n v="346467"/>
    <n v="797924"/>
    <n v="682435"/>
  </r>
  <r>
    <s v="New Delhi"/>
    <x v="4"/>
    <s v="LG Optimus 3D P920"/>
    <s v="Sales"/>
    <n v="302000"/>
    <n v="2476400"/>
    <n v="2114000"/>
    <n v="604000"/>
    <n v="1902600"/>
  </r>
  <r>
    <s v="New Delhi"/>
    <x v="4"/>
    <s v="LG Optimus NET P690"/>
    <s v="Sales"/>
    <n v="639936"/>
    <n v="539946"/>
    <n v="389961"/>
    <n v="199980"/>
    <n v="609939"/>
  </r>
  <r>
    <s v="New Delhi"/>
    <x v="4"/>
    <s v="LG Optimus Pro C660"/>
    <s v="Sales"/>
    <n v="134386"/>
    <n v="95990"/>
    <n v="412757"/>
    <n v="643133"/>
    <n v="921504"/>
  </r>
  <r>
    <s v="New Delhi"/>
    <x v="4"/>
    <s v="LG Optimus Black P970"/>
    <s v="Sales"/>
    <n v="1424925"/>
    <n v="1728909"/>
    <n v="1823904"/>
    <n v="797958"/>
    <n v="265986"/>
  </r>
  <r>
    <s v="New Delhi"/>
    <x v="4"/>
    <s v="LG Optimus 2X"/>
    <s v="Sales"/>
    <n v="699965"/>
    <n v="1479926"/>
    <n v="1119944"/>
    <n v="1159942"/>
    <n v="1739913"/>
  </r>
  <r>
    <s v="New Delhi"/>
    <x v="4"/>
    <s v="LG Optimus One P500"/>
    <s v="Sales"/>
    <n v="131460"/>
    <n v="150240"/>
    <n v="657300"/>
    <n v="488280"/>
    <n v="760590"/>
  </r>
  <r>
    <s v="New Delhi"/>
    <x v="4"/>
    <s v="LG Optimus 5X"/>
    <s v="Sales"/>
    <n v="1722000"/>
    <n v="630000"/>
    <n v="1638000"/>
    <n v="1722000"/>
    <n v="1218000"/>
  </r>
  <r>
    <s v="New Delhi"/>
    <x v="4"/>
    <s v="LG Optimus 12X"/>
    <s v="Sales"/>
    <n v="1225000"/>
    <n v="2100000"/>
    <n v="975000"/>
    <n v="1025000"/>
    <n v="1625000"/>
  </r>
  <r>
    <s v="New Delhi"/>
    <x v="5"/>
    <s v="Motorola Razr XT910"/>
    <s v="Sales"/>
    <n v="3007906"/>
    <n v="1951939"/>
    <n v="671979"/>
    <n v="1247961"/>
    <n v="2399925"/>
  </r>
  <r>
    <s v="New Delhi"/>
    <x v="5"/>
    <s v="Motorola Defy+"/>
    <s v="Sales"/>
    <n v="1284582"/>
    <n v="823450"/>
    <n v="510539"/>
    <n v="362318"/>
    <n v="625822"/>
  </r>
  <r>
    <s v="New Delhi"/>
    <x v="5"/>
    <s v="Motorola Fire XT530"/>
    <s v="Sales"/>
    <n v="188432"/>
    <n v="930383"/>
    <n v="741951"/>
    <n v="459303"/>
    <n v="176655"/>
  </r>
  <r>
    <s v="New Delhi"/>
    <x v="5"/>
    <s v="Motorola Brea EX119"/>
    <s v="Sales"/>
    <n v="296744"/>
    <n v="365631"/>
    <n v="408023"/>
    <n v="392126"/>
    <n v="259651"/>
  </r>
  <r>
    <s v="New Delhi"/>
    <x v="5"/>
    <s v="Motorola Fire"/>
    <s v="Sales"/>
    <n v="186900"/>
    <n v="231400"/>
    <n v="605200"/>
    <n v="765400"/>
    <n v="818800"/>
  </r>
  <r>
    <s v="New Delhi"/>
    <x v="5"/>
    <s v="Motorola Xoom 32GB (Wi-Fi) Tablet"/>
    <s v="Sales"/>
    <n v="1339440"/>
    <n v="1852892"/>
    <n v="1026904"/>
    <n v="2076132"/>
    <n v="759016"/>
  </r>
  <r>
    <s v="New Delhi"/>
    <x v="5"/>
    <s v="Motorola Xoom 32GB (Wi-Fi+3G) Tablet"/>
    <s v="Sales"/>
    <n v="1403460"/>
    <n v="2157170"/>
    <n v="831680"/>
    <n v="909650"/>
    <n v="753710"/>
  </r>
  <r>
    <s v="New Delhi"/>
    <x v="5"/>
    <s v="Motorola Milestone 4GB"/>
    <s v="Sales"/>
    <n v="1460000"/>
    <n v="200000"/>
    <n v="620000"/>
    <n v="1580000"/>
    <n v="500000"/>
  </r>
  <r>
    <s v="New Delhi"/>
    <x v="5"/>
    <s v="Motorola Milestone 16GB"/>
    <s v="Sales"/>
    <n v="1092000"/>
    <n v="1008000"/>
    <n v="1155000"/>
    <n v="1470000"/>
    <n v="1260000"/>
  </r>
  <r>
    <s v="New Delhi"/>
    <x v="5"/>
    <s v="Motorola Milestone 32GB"/>
    <s v="Sales"/>
    <n v="1518000"/>
    <n v="418000"/>
    <n v="924000"/>
    <n v="836000"/>
    <n v="1232000"/>
  </r>
  <r>
    <s v="New Delhi"/>
    <x v="6"/>
    <s v="Blackberry Bold 9790"/>
    <s v="Sales"/>
    <n v="2592100"/>
    <n v="502550"/>
    <n v="634800"/>
    <n v="1719250"/>
    <n v="2512750"/>
  </r>
  <r>
    <s v="New Delhi"/>
    <x v="6"/>
    <s v="Blackberry Curve 9380"/>
    <s v="Sales"/>
    <n v="1177020"/>
    <n v="1824381"/>
    <n v="882765"/>
    <n v="1392807"/>
    <n v="215787"/>
  </r>
  <r>
    <s v="New Delhi"/>
    <x v="6"/>
    <s v="Blackberry Torch 9860"/>
    <s v="Sales"/>
    <n v="2668170"/>
    <n v="1606640"/>
    <n v="1893540"/>
    <n v="918080"/>
    <n v="2582100"/>
  </r>
  <r>
    <s v="New Delhi"/>
    <x v="6"/>
    <s v="Blackberry Curve 9360"/>
    <s v="Sales"/>
    <n v="1462230"/>
    <n v="1481220"/>
    <n v="1633140"/>
    <n v="1690110"/>
    <n v="930510"/>
  </r>
  <r>
    <s v="New Delhi"/>
    <x v="6"/>
    <s v="Blackberry Torch 9810"/>
    <s v="Sales"/>
    <n v="2684060"/>
    <n v="1997440"/>
    <n v="436940"/>
    <n v="2840110"/>
    <n v="2652850"/>
  </r>
  <r>
    <s v="New Delhi"/>
    <x v="6"/>
    <s v="Blackberry Bold 4 9900"/>
    <s v="Sales"/>
    <n v="2535360"/>
    <n v="1334400"/>
    <n v="433680"/>
    <n v="900720"/>
    <n v="2902320"/>
  </r>
  <r>
    <s v="New Delhi"/>
    <x v="6"/>
    <s v="Blackberry Playbook 64GB Wi-Fi Tablet"/>
    <s v="Sales"/>
    <n v="1719914"/>
    <n v="1599920"/>
    <n v="539973"/>
    <n v="1179941"/>
    <n v="1979901"/>
  </r>
  <r>
    <s v="New Delhi"/>
    <x v="6"/>
    <s v="Blackberry Playbook 32GB Wi-Fi Tablet"/>
    <s v="Sales"/>
    <n v="776600"/>
    <n v="706000"/>
    <n v="529500"/>
    <n v="441250"/>
    <n v="1694400"/>
  </r>
  <r>
    <s v="New Delhi"/>
    <x v="6"/>
    <s v="Blackberry Playbook 16GB Wi-Fi Tablet"/>
    <s v="Sales"/>
    <n v="653600"/>
    <n v="1322400"/>
    <n v="608000"/>
    <n v="304000"/>
    <n v="1383200"/>
  </r>
  <r>
    <s v="New Delhi"/>
    <x v="6"/>
    <s v="Blackberry Bold 9780"/>
    <s v="Sales"/>
    <n v="757350"/>
    <n v="849150"/>
    <n v="2065500"/>
    <n v="1101600"/>
    <n v="1308150"/>
  </r>
  <r>
    <s v="New Delhi"/>
    <x v="7"/>
    <s v="Apple iPhone 4S 64GB"/>
    <s v="Sales"/>
    <n v="4657500"/>
    <n v="4082500"/>
    <n v="1207500"/>
    <n v="5635000"/>
    <n v="3450000"/>
  </r>
  <r>
    <s v="New Delhi"/>
    <x v="7"/>
    <s v="Apple iPhone 4S 32GB"/>
    <s v="Sales"/>
    <n v="2646800"/>
    <n v="1628800"/>
    <n v="3766600"/>
    <n v="2188700"/>
    <n v="2239600"/>
  </r>
  <r>
    <s v="New Delhi"/>
    <x v="7"/>
    <s v="Apple iPhone 4S 16GB"/>
    <s v="Sales"/>
    <n v="2136000"/>
    <n v="3649000"/>
    <n v="4361000"/>
    <n v="3337500"/>
    <n v="1602000"/>
  </r>
  <r>
    <s v="New Delhi"/>
    <x v="7"/>
    <s v="Apple iPhone 4 8GB"/>
    <s v="Sales"/>
    <n v="1667600"/>
    <n v="3486800"/>
    <n v="2577200"/>
    <n v="3752100"/>
    <n v="3411000"/>
  </r>
  <r>
    <s v="New Delhi"/>
    <x v="7"/>
    <s v="Apple iPad 2 16GB (Wi-Fi) Tablet"/>
    <s v="Sales"/>
    <n v="619500"/>
    <n v="1563500"/>
    <n v="944000"/>
    <n v="2507500"/>
    <n v="472000"/>
  </r>
  <r>
    <s v="New Delhi"/>
    <x v="7"/>
    <s v="Apple iPad 2 32GB (Wi-Fi) Tablet"/>
    <s v="Sales"/>
    <n v="1552500"/>
    <n v="1173000"/>
    <n v="690000"/>
    <n v="2587500"/>
    <n v="1104000"/>
  </r>
  <r>
    <s v="New Delhi"/>
    <x v="7"/>
    <s v="Apple iPad 2 64GB (Wi-Fi) Tablet"/>
    <s v="Sales"/>
    <n v="2212000"/>
    <n v="395000"/>
    <n v="671500"/>
    <n v="2725500"/>
    <n v="2291000"/>
  </r>
  <r>
    <s v="New Delhi"/>
    <x v="7"/>
    <s v="Apple iPad 2 16GB (Wi-Fi+3G) Tablet"/>
    <s v="Sales"/>
    <n v="959400"/>
    <n v="1402200"/>
    <n v="1439100"/>
    <n v="2656800"/>
    <n v="1439100"/>
  </r>
  <r>
    <s v="New Delhi"/>
    <x v="7"/>
    <s v="Apple iPad 2 32GB (Wi-Fi+3G) Tablet"/>
    <s v="Sales"/>
    <n v="1382700"/>
    <n v="1340800"/>
    <n v="2011200"/>
    <n v="2933000"/>
    <n v="2388300"/>
  </r>
  <r>
    <s v="New Delhi"/>
    <x v="7"/>
    <s v="Apple iPad 2 64GB (Wi-Fi+3G) Tablet"/>
    <s v="Sales"/>
    <n v="656600"/>
    <n v="891100"/>
    <n v="2157400"/>
    <n v="3048500"/>
    <n v="1594600"/>
  </r>
  <r>
    <s v="New Delhi"/>
    <x v="8"/>
    <s v="anymobile tablte"/>
    <s v="Sales"/>
    <n v="656600"/>
    <n v="891100"/>
    <n v="2157400"/>
    <n v="3048500"/>
    <n v="1594600"/>
  </r>
  <r>
    <s v="New Delhi"/>
    <x v="8"/>
    <s v="anymobile tablte"/>
    <s v="Units"/>
    <n v="43.773333333333333"/>
    <n v="59.406666666666666"/>
    <n v="143.82666666666665"/>
    <n v="203.23333333333332"/>
    <n v="106.306666666666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30D46-3F33-420E-985A-A0CB27DBA59F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9">
    <pivotField showAll="0"/>
    <pivotField axis="axisRow" showAll="0">
      <items count="10">
        <item x="8"/>
        <item x="7"/>
        <item x="6"/>
        <item x="3"/>
        <item x="4"/>
        <item x="5"/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2009" fld="4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BE16E1-F77F-4A09-A422-E5409F2C861F}" name="Sales" displayName="Sales" ref="A1:I1123" totalsRowShown="0" headerRowDxfId="2" dataDxfId="3" headerRowBorderDxfId="14" tableBorderDxfId="15" totalsRowBorderDxfId="13">
  <tableColumns count="9">
    <tableColumn id="1" xr3:uid="{AA37B603-2B18-4584-8D9C-7C8C4A7E9A24}" name="State" dataDxfId="12"/>
    <tableColumn id="2" xr3:uid="{6A799B99-A272-432B-BBBB-030FCF6CB1AF}" name="Brand" dataDxfId="11"/>
    <tableColumn id="3" xr3:uid="{33415E7A-A46F-44D6-89F7-A8622FD8F2C7}" name="Product" dataDxfId="10"/>
    <tableColumn id="4" xr3:uid="{F4A868E9-E307-4C7C-B026-42827D8DEE11}" name="Measure" dataDxfId="9"/>
    <tableColumn id="5" xr3:uid="{8AA1740F-563F-41D4-9A75-DB3C0E113FFD}" name="2009" dataDxfId="8"/>
    <tableColumn id="6" xr3:uid="{0E6E4178-307B-4527-8DC0-89127C2CF39C}" name="2010" dataDxfId="7"/>
    <tableColumn id="7" xr3:uid="{6740CDD0-1857-4486-AAE2-A1CFC70FE5C5}" name="2011" dataDxfId="6"/>
    <tableColumn id="8" xr3:uid="{7C54E8EA-B3DD-4082-9666-78A9FCB8AB16}" name="2012" dataDxfId="5"/>
    <tableColumn id="9" xr3:uid="{8751A82D-16D1-45DF-9C54-2F5177257A9D}" name="2013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E141-5201-4D3C-BEC3-630CC3FE0AD9}">
  <sheetPr codeName="Sheet2"/>
  <dimension ref="A3:B13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3.140625" style="7" bestFit="1" customWidth="1"/>
  </cols>
  <sheetData>
    <row r="3" spans="1:2" x14ac:dyDescent="0.25">
      <c r="A3" s="5" t="s">
        <v>109</v>
      </c>
      <c r="B3" s="8" t="s">
        <v>111</v>
      </c>
    </row>
    <row r="4" spans="1:2" x14ac:dyDescent="0.25">
      <c r="A4" s="6" t="s">
        <v>106</v>
      </c>
      <c r="B4" s="8">
        <v>656643.77333333332</v>
      </c>
    </row>
    <row r="5" spans="1:2" x14ac:dyDescent="0.25">
      <c r="A5" s="6" t="s">
        <v>88</v>
      </c>
      <c r="B5" s="8">
        <v>154131268</v>
      </c>
    </row>
    <row r="6" spans="1:2" x14ac:dyDescent="0.25">
      <c r="A6" s="6" t="s">
        <v>77</v>
      </c>
      <c r="B6" s="8">
        <v>91187955</v>
      </c>
    </row>
    <row r="7" spans="1:2" x14ac:dyDescent="0.25">
      <c r="A7" s="6" t="s">
        <v>44</v>
      </c>
      <c r="B7" s="8">
        <v>79358382</v>
      </c>
    </row>
    <row r="8" spans="1:2" x14ac:dyDescent="0.25">
      <c r="A8" s="6" t="s">
        <v>55</v>
      </c>
      <c r="B8" s="8">
        <v>64672984</v>
      </c>
    </row>
    <row r="9" spans="1:2" x14ac:dyDescent="0.25">
      <c r="A9" s="6" t="s">
        <v>66</v>
      </c>
      <c r="B9" s="8">
        <v>71108789</v>
      </c>
    </row>
    <row r="10" spans="1:2" x14ac:dyDescent="0.25">
      <c r="A10" s="6" t="s">
        <v>10</v>
      </c>
      <c r="B10" s="8">
        <v>61337983</v>
      </c>
    </row>
    <row r="11" spans="1:2" x14ac:dyDescent="0.25">
      <c r="A11" s="6" t="s">
        <v>22</v>
      </c>
      <c r="B11" s="8">
        <v>81786831</v>
      </c>
    </row>
    <row r="12" spans="1:2" x14ac:dyDescent="0.25">
      <c r="A12" s="6" t="s">
        <v>33</v>
      </c>
      <c r="B12" s="8">
        <v>58956622</v>
      </c>
    </row>
    <row r="13" spans="1:2" x14ac:dyDescent="0.25">
      <c r="A13" s="6" t="s">
        <v>110</v>
      </c>
      <c r="B13" s="8">
        <v>663197457.77333331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DFE0-ACD4-4051-9CB9-1EBA435E4DF2}">
  <sheetPr codeName="Sheet1"/>
  <dimension ref="A1:M1123"/>
  <sheetViews>
    <sheetView tabSelected="1" workbookViewId="0">
      <selection activeCell="M2" sqref="M2:M10"/>
    </sheetView>
  </sheetViews>
  <sheetFormatPr defaultRowHeight="15" x14ac:dyDescent="0.25"/>
  <cols>
    <col min="1" max="1" width="15.140625" bestFit="1" customWidth="1"/>
    <col min="3" max="3" width="10" customWidth="1"/>
    <col min="4" max="4" width="11" customWidth="1"/>
    <col min="6" max="6" width="11.7109375" bestFit="1" customWidth="1"/>
  </cols>
  <sheetData>
    <row r="1" spans="1:13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L1" t="s">
        <v>108</v>
      </c>
      <c r="M1">
        <v>2010</v>
      </c>
    </row>
    <row r="2" spans="1:13" x14ac:dyDescent="0.25">
      <c r="A2" s="1" t="s">
        <v>9</v>
      </c>
      <c r="B2" s="1" t="s">
        <v>10</v>
      </c>
      <c r="C2" s="1" t="s">
        <v>11</v>
      </c>
      <c r="D2" s="1" t="s">
        <v>12</v>
      </c>
      <c r="E2" s="1">
        <v>48</v>
      </c>
      <c r="F2" s="1">
        <v>55</v>
      </c>
      <c r="G2" s="1">
        <v>58</v>
      </c>
      <c r="H2" s="1">
        <v>94</v>
      </c>
      <c r="I2" s="1">
        <v>13</v>
      </c>
      <c r="L2" s="1" t="s">
        <v>10</v>
      </c>
      <c r="M2">
        <f t="array" ref="M2:M10">SUMIF(Sales[Brand],L2:L10,Sales[2009])</f>
        <v>61337983</v>
      </c>
    </row>
    <row r="3" spans="1:13" x14ac:dyDescent="0.25">
      <c r="A3" s="2" t="s">
        <v>9</v>
      </c>
      <c r="B3" s="2" t="s">
        <v>10</v>
      </c>
      <c r="C3" s="2" t="s">
        <v>13</v>
      </c>
      <c r="D3" s="2" t="s">
        <v>12</v>
      </c>
      <c r="E3" s="2">
        <v>12</v>
      </c>
      <c r="F3" s="2">
        <v>70</v>
      </c>
      <c r="G3" s="2">
        <v>48</v>
      </c>
      <c r="H3" s="2">
        <v>100</v>
      </c>
      <c r="I3" s="2">
        <v>58</v>
      </c>
      <c r="L3" s="1" t="s">
        <v>22</v>
      </c>
      <c r="M3">
        <v>81786831</v>
      </c>
    </row>
    <row r="4" spans="1:13" x14ac:dyDescent="0.25">
      <c r="A4" s="1" t="s">
        <v>9</v>
      </c>
      <c r="B4" s="1" t="s">
        <v>10</v>
      </c>
      <c r="C4" s="1" t="s">
        <v>14</v>
      </c>
      <c r="D4" s="1" t="s">
        <v>12</v>
      </c>
      <c r="E4" s="1">
        <v>61</v>
      </c>
      <c r="F4" s="1">
        <v>49</v>
      </c>
      <c r="G4" s="1">
        <v>34</v>
      </c>
      <c r="H4" s="1">
        <v>83</v>
      </c>
      <c r="I4" s="1">
        <v>69</v>
      </c>
      <c r="L4" s="1" t="s">
        <v>33</v>
      </c>
      <c r="M4">
        <v>58956622</v>
      </c>
    </row>
    <row r="5" spans="1:13" x14ac:dyDescent="0.25">
      <c r="A5" s="2" t="s">
        <v>9</v>
      </c>
      <c r="B5" s="2" t="s">
        <v>10</v>
      </c>
      <c r="C5" s="2" t="s">
        <v>15</v>
      </c>
      <c r="D5" s="2" t="s">
        <v>12</v>
      </c>
      <c r="E5" s="2">
        <v>58</v>
      </c>
      <c r="F5" s="2">
        <v>71</v>
      </c>
      <c r="G5" s="2">
        <v>85</v>
      </c>
      <c r="H5" s="2">
        <v>76</v>
      </c>
      <c r="I5" s="2">
        <v>35</v>
      </c>
      <c r="L5" s="1" t="s">
        <v>44</v>
      </c>
      <c r="M5">
        <v>79358382</v>
      </c>
    </row>
    <row r="6" spans="1:13" x14ac:dyDescent="0.25">
      <c r="A6" s="1" t="s">
        <v>9</v>
      </c>
      <c r="B6" s="1" t="s">
        <v>10</v>
      </c>
      <c r="C6" s="1" t="s">
        <v>16</v>
      </c>
      <c r="D6" s="1" t="s">
        <v>12</v>
      </c>
      <c r="E6" s="1">
        <v>99</v>
      </c>
      <c r="F6" s="1">
        <v>76</v>
      </c>
      <c r="G6" s="1">
        <v>77</v>
      </c>
      <c r="H6" s="1">
        <v>32</v>
      </c>
      <c r="I6" s="1">
        <v>19</v>
      </c>
      <c r="L6" s="1" t="s">
        <v>55</v>
      </c>
      <c r="M6">
        <v>64672984</v>
      </c>
    </row>
    <row r="7" spans="1:13" x14ac:dyDescent="0.25">
      <c r="A7" s="2" t="s">
        <v>9</v>
      </c>
      <c r="B7" s="2" t="s">
        <v>10</v>
      </c>
      <c r="C7" s="2" t="s">
        <v>17</v>
      </c>
      <c r="D7" s="2" t="s">
        <v>12</v>
      </c>
      <c r="E7" s="2">
        <v>32</v>
      </c>
      <c r="F7" s="2">
        <v>96</v>
      </c>
      <c r="G7" s="2">
        <v>38</v>
      </c>
      <c r="H7" s="2">
        <v>84</v>
      </c>
      <c r="I7" s="2">
        <v>71</v>
      </c>
      <c r="L7" s="1" t="s">
        <v>66</v>
      </c>
      <c r="M7">
        <v>71108789</v>
      </c>
    </row>
    <row r="8" spans="1:13" x14ac:dyDescent="0.25">
      <c r="A8" s="1" t="s">
        <v>9</v>
      </c>
      <c r="B8" s="1" t="s">
        <v>10</v>
      </c>
      <c r="C8" s="1" t="s">
        <v>18</v>
      </c>
      <c r="D8" s="1" t="s">
        <v>12</v>
      </c>
      <c r="E8" s="1">
        <v>22</v>
      </c>
      <c r="F8" s="1">
        <v>34</v>
      </c>
      <c r="G8" s="1">
        <v>79</v>
      </c>
      <c r="H8" s="1">
        <v>78</v>
      </c>
      <c r="I8" s="1">
        <v>63</v>
      </c>
      <c r="L8" s="1" t="s">
        <v>77</v>
      </c>
      <c r="M8">
        <v>91187955</v>
      </c>
    </row>
    <row r="9" spans="1:13" x14ac:dyDescent="0.25">
      <c r="A9" s="2" t="s">
        <v>9</v>
      </c>
      <c r="B9" s="2" t="s">
        <v>10</v>
      </c>
      <c r="C9" s="2" t="s">
        <v>19</v>
      </c>
      <c r="D9" s="2" t="s">
        <v>12</v>
      </c>
      <c r="E9" s="2">
        <v>78</v>
      </c>
      <c r="F9" s="2">
        <v>30</v>
      </c>
      <c r="G9" s="2">
        <v>49</v>
      </c>
      <c r="H9" s="2">
        <v>53</v>
      </c>
      <c r="I9" s="2">
        <v>65</v>
      </c>
      <c r="L9" s="1" t="s">
        <v>88</v>
      </c>
      <c r="M9">
        <v>154131268</v>
      </c>
    </row>
    <row r="10" spans="1:13" x14ac:dyDescent="0.25">
      <c r="A10" s="1" t="s">
        <v>9</v>
      </c>
      <c r="B10" s="1" t="s">
        <v>10</v>
      </c>
      <c r="C10" s="1" t="s">
        <v>20</v>
      </c>
      <c r="D10" s="1" t="s">
        <v>12</v>
      </c>
      <c r="E10" s="1">
        <v>41</v>
      </c>
      <c r="F10" s="1">
        <v>19</v>
      </c>
      <c r="G10" s="1">
        <v>26</v>
      </c>
      <c r="H10" s="1">
        <v>16</v>
      </c>
      <c r="I10" s="1">
        <v>36</v>
      </c>
      <c r="L10" s="1" t="s">
        <v>106</v>
      </c>
      <c r="M10">
        <v>656643.77333333332</v>
      </c>
    </row>
    <row r="11" spans="1:13" x14ac:dyDescent="0.25">
      <c r="A11" s="2" t="s">
        <v>9</v>
      </c>
      <c r="B11" s="2" t="s">
        <v>10</v>
      </c>
      <c r="C11" s="2" t="s">
        <v>21</v>
      </c>
      <c r="D11" s="2" t="s">
        <v>12</v>
      </c>
      <c r="E11" s="2">
        <v>58</v>
      </c>
      <c r="F11" s="2">
        <v>16</v>
      </c>
      <c r="G11" s="2">
        <v>59</v>
      </c>
      <c r="H11" s="2">
        <v>28</v>
      </c>
      <c r="I11" s="2">
        <v>67</v>
      </c>
    </row>
    <row r="12" spans="1:13" x14ac:dyDescent="0.25">
      <c r="A12" s="1" t="s">
        <v>9</v>
      </c>
      <c r="B12" s="1" t="s">
        <v>22</v>
      </c>
      <c r="C12" s="1" t="s">
        <v>23</v>
      </c>
      <c r="D12" s="1" t="s">
        <v>12</v>
      </c>
      <c r="E12" s="1">
        <v>22</v>
      </c>
      <c r="F12" s="1">
        <v>90</v>
      </c>
      <c r="G12" s="1">
        <v>62</v>
      </c>
      <c r="H12" s="1">
        <v>56</v>
      </c>
      <c r="I12" s="1">
        <v>39</v>
      </c>
    </row>
    <row r="13" spans="1:13" x14ac:dyDescent="0.25">
      <c r="A13" s="2" t="s">
        <v>9</v>
      </c>
      <c r="B13" s="2" t="s">
        <v>22</v>
      </c>
      <c r="C13" s="2" t="s">
        <v>24</v>
      </c>
      <c r="D13" s="2" t="s">
        <v>12</v>
      </c>
      <c r="E13" s="2">
        <v>86</v>
      </c>
      <c r="F13" s="2">
        <v>23</v>
      </c>
      <c r="G13" s="2">
        <v>52</v>
      </c>
      <c r="H13" s="2">
        <v>10</v>
      </c>
      <c r="I13" s="2">
        <v>67</v>
      </c>
    </row>
    <row r="14" spans="1:13" x14ac:dyDescent="0.25">
      <c r="A14" s="1" t="s">
        <v>9</v>
      </c>
      <c r="B14" s="1" t="s">
        <v>22</v>
      </c>
      <c r="C14" s="1" t="s">
        <v>25</v>
      </c>
      <c r="D14" s="1" t="s">
        <v>12</v>
      </c>
      <c r="E14" s="1">
        <v>76</v>
      </c>
      <c r="F14" s="1">
        <v>82</v>
      </c>
      <c r="G14" s="1">
        <v>85</v>
      </c>
      <c r="H14" s="1">
        <v>87</v>
      </c>
      <c r="I14" s="1">
        <v>39</v>
      </c>
    </row>
    <row r="15" spans="1:13" x14ac:dyDescent="0.25">
      <c r="A15" s="2" t="s">
        <v>9</v>
      </c>
      <c r="B15" s="2" t="s">
        <v>22</v>
      </c>
      <c r="C15" s="2" t="s">
        <v>26</v>
      </c>
      <c r="D15" s="2" t="s">
        <v>12</v>
      </c>
      <c r="E15" s="2">
        <v>42</v>
      </c>
      <c r="F15" s="2">
        <v>30</v>
      </c>
      <c r="G15" s="2">
        <v>29</v>
      </c>
      <c r="H15" s="2">
        <v>70</v>
      </c>
      <c r="I15" s="2">
        <v>38</v>
      </c>
    </row>
    <row r="16" spans="1:13" x14ac:dyDescent="0.25">
      <c r="A16" s="1" t="s">
        <v>9</v>
      </c>
      <c r="B16" s="1" t="s">
        <v>22</v>
      </c>
      <c r="C16" s="1" t="s">
        <v>27</v>
      </c>
      <c r="D16" s="1" t="s">
        <v>12</v>
      </c>
      <c r="E16" s="1">
        <v>54</v>
      </c>
      <c r="F16" s="1">
        <v>48</v>
      </c>
      <c r="G16" s="1">
        <v>92</v>
      </c>
      <c r="H16" s="1">
        <v>30</v>
      </c>
      <c r="I16" s="1">
        <v>79</v>
      </c>
    </row>
    <row r="17" spans="1:9" x14ac:dyDescent="0.25">
      <c r="A17" s="2" t="s">
        <v>9</v>
      </c>
      <c r="B17" s="2" t="s">
        <v>22</v>
      </c>
      <c r="C17" s="2" t="s">
        <v>28</v>
      </c>
      <c r="D17" s="2" t="s">
        <v>12</v>
      </c>
      <c r="E17" s="2">
        <v>28</v>
      </c>
      <c r="F17" s="2">
        <v>68</v>
      </c>
      <c r="G17" s="2">
        <v>16</v>
      </c>
      <c r="H17" s="2">
        <v>75</v>
      </c>
      <c r="I17" s="2">
        <v>99</v>
      </c>
    </row>
    <row r="18" spans="1:9" x14ac:dyDescent="0.25">
      <c r="A18" s="1" t="s">
        <v>9</v>
      </c>
      <c r="B18" s="1" t="s">
        <v>22</v>
      </c>
      <c r="C18" s="1" t="s">
        <v>29</v>
      </c>
      <c r="D18" s="1" t="s">
        <v>12</v>
      </c>
      <c r="E18" s="1">
        <v>73</v>
      </c>
      <c r="F18" s="1">
        <v>78</v>
      </c>
      <c r="G18" s="1">
        <v>74</v>
      </c>
      <c r="H18" s="1">
        <v>65</v>
      </c>
      <c r="I18" s="1">
        <v>22</v>
      </c>
    </row>
    <row r="19" spans="1:9" x14ac:dyDescent="0.25">
      <c r="A19" s="2" t="s">
        <v>9</v>
      </c>
      <c r="B19" s="2" t="s">
        <v>22</v>
      </c>
      <c r="C19" s="2" t="s">
        <v>30</v>
      </c>
      <c r="D19" s="2" t="s">
        <v>12</v>
      </c>
      <c r="E19" s="2">
        <v>88</v>
      </c>
      <c r="F19" s="2">
        <v>26</v>
      </c>
      <c r="G19" s="2">
        <v>96</v>
      </c>
      <c r="H19" s="2">
        <v>99</v>
      </c>
      <c r="I19" s="2">
        <v>19</v>
      </c>
    </row>
    <row r="20" spans="1:9" x14ac:dyDescent="0.25">
      <c r="A20" s="1" t="s">
        <v>9</v>
      </c>
      <c r="B20" s="1" t="s">
        <v>22</v>
      </c>
      <c r="C20" s="1" t="s">
        <v>31</v>
      </c>
      <c r="D20" s="1" t="s">
        <v>12</v>
      </c>
      <c r="E20" s="1">
        <v>31</v>
      </c>
      <c r="F20" s="1">
        <v>40</v>
      </c>
      <c r="G20" s="1">
        <v>67</v>
      </c>
      <c r="H20" s="1">
        <v>89</v>
      </c>
      <c r="I20" s="1">
        <v>43</v>
      </c>
    </row>
    <row r="21" spans="1:9" x14ac:dyDescent="0.25">
      <c r="A21" s="2" t="s">
        <v>9</v>
      </c>
      <c r="B21" s="2" t="s">
        <v>22</v>
      </c>
      <c r="C21" s="2" t="s">
        <v>32</v>
      </c>
      <c r="D21" s="2" t="s">
        <v>12</v>
      </c>
      <c r="E21" s="2">
        <v>17</v>
      </c>
      <c r="F21" s="2">
        <v>33</v>
      </c>
      <c r="G21" s="2">
        <v>86</v>
      </c>
      <c r="H21" s="2">
        <v>91</v>
      </c>
      <c r="I21" s="2">
        <v>13</v>
      </c>
    </row>
    <row r="22" spans="1:9" x14ac:dyDescent="0.25">
      <c r="A22" s="1" t="s">
        <v>9</v>
      </c>
      <c r="B22" s="1" t="s">
        <v>33</v>
      </c>
      <c r="C22" s="1" t="s">
        <v>34</v>
      </c>
      <c r="D22" s="1" t="s">
        <v>12</v>
      </c>
      <c r="E22" s="1">
        <v>53</v>
      </c>
      <c r="F22" s="1">
        <v>11</v>
      </c>
      <c r="G22" s="1">
        <v>49</v>
      </c>
      <c r="H22" s="1">
        <v>26</v>
      </c>
      <c r="I22" s="1">
        <v>53</v>
      </c>
    </row>
    <row r="23" spans="1:9" x14ac:dyDescent="0.25">
      <c r="A23" s="2" t="s">
        <v>9</v>
      </c>
      <c r="B23" s="2" t="s">
        <v>33</v>
      </c>
      <c r="C23" s="2" t="s">
        <v>35</v>
      </c>
      <c r="D23" s="2" t="s">
        <v>12</v>
      </c>
      <c r="E23" s="2">
        <v>81</v>
      </c>
      <c r="F23" s="2">
        <v>86</v>
      </c>
      <c r="G23" s="2">
        <v>56</v>
      </c>
      <c r="H23" s="2">
        <v>24</v>
      </c>
      <c r="I23" s="2">
        <v>69</v>
      </c>
    </row>
    <row r="24" spans="1:9" x14ac:dyDescent="0.25">
      <c r="A24" s="1" t="s">
        <v>9</v>
      </c>
      <c r="B24" s="1" t="s">
        <v>33</v>
      </c>
      <c r="C24" s="1" t="s">
        <v>36</v>
      </c>
      <c r="D24" s="1" t="s">
        <v>12</v>
      </c>
      <c r="E24" s="1">
        <v>25</v>
      </c>
      <c r="F24" s="1">
        <v>37</v>
      </c>
      <c r="G24" s="1">
        <v>66</v>
      </c>
      <c r="H24" s="1">
        <v>70</v>
      </c>
      <c r="I24" s="1">
        <v>32</v>
      </c>
    </row>
    <row r="25" spans="1:9" x14ac:dyDescent="0.25">
      <c r="A25" s="2" t="s">
        <v>9</v>
      </c>
      <c r="B25" s="2" t="s">
        <v>33</v>
      </c>
      <c r="C25" s="2" t="s">
        <v>37</v>
      </c>
      <c r="D25" s="2" t="s">
        <v>12</v>
      </c>
      <c r="E25" s="2">
        <v>58</v>
      </c>
      <c r="F25" s="2">
        <v>84</v>
      </c>
      <c r="G25" s="2">
        <v>37</v>
      </c>
      <c r="H25" s="2">
        <v>85</v>
      </c>
      <c r="I25" s="2">
        <v>64</v>
      </c>
    </row>
    <row r="26" spans="1:9" x14ac:dyDescent="0.25">
      <c r="A26" s="1" t="s">
        <v>9</v>
      </c>
      <c r="B26" s="1" t="s">
        <v>33</v>
      </c>
      <c r="C26" s="1" t="s">
        <v>38</v>
      </c>
      <c r="D26" s="1" t="s">
        <v>12</v>
      </c>
      <c r="E26" s="1">
        <v>70</v>
      </c>
      <c r="F26" s="1">
        <v>24</v>
      </c>
      <c r="G26" s="1">
        <v>47</v>
      </c>
      <c r="H26" s="1">
        <v>25</v>
      </c>
      <c r="I26" s="1">
        <v>46</v>
      </c>
    </row>
    <row r="27" spans="1:9" x14ac:dyDescent="0.25">
      <c r="A27" s="2" t="s">
        <v>9</v>
      </c>
      <c r="B27" s="2" t="s">
        <v>33</v>
      </c>
      <c r="C27" s="2" t="s">
        <v>39</v>
      </c>
      <c r="D27" s="2" t="s">
        <v>12</v>
      </c>
      <c r="E27" s="2">
        <v>76</v>
      </c>
      <c r="F27" s="2">
        <v>61</v>
      </c>
      <c r="G27" s="2">
        <v>56</v>
      </c>
      <c r="H27" s="2">
        <v>94</v>
      </c>
      <c r="I27" s="2">
        <v>24</v>
      </c>
    </row>
    <row r="28" spans="1:9" x14ac:dyDescent="0.25">
      <c r="A28" s="1" t="s">
        <v>9</v>
      </c>
      <c r="B28" s="1" t="s">
        <v>33</v>
      </c>
      <c r="C28" s="1" t="s">
        <v>40</v>
      </c>
      <c r="D28" s="1" t="s">
        <v>12</v>
      </c>
      <c r="E28" s="1">
        <v>44</v>
      </c>
      <c r="F28" s="1">
        <v>25</v>
      </c>
      <c r="G28" s="1">
        <v>78</v>
      </c>
      <c r="H28" s="1">
        <v>71</v>
      </c>
      <c r="I28" s="1">
        <v>76</v>
      </c>
    </row>
    <row r="29" spans="1:9" x14ac:dyDescent="0.25">
      <c r="A29" s="2" t="s">
        <v>9</v>
      </c>
      <c r="B29" s="2" t="s">
        <v>33</v>
      </c>
      <c r="C29" s="2" t="s">
        <v>41</v>
      </c>
      <c r="D29" s="2" t="s">
        <v>12</v>
      </c>
      <c r="E29" s="2">
        <v>65</v>
      </c>
      <c r="F29" s="2">
        <v>59</v>
      </c>
      <c r="G29" s="2">
        <v>88</v>
      </c>
      <c r="H29" s="2">
        <v>64</v>
      </c>
      <c r="I29" s="2">
        <v>86</v>
      </c>
    </row>
    <row r="30" spans="1:9" x14ac:dyDescent="0.25">
      <c r="A30" s="1" t="s">
        <v>9</v>
      </c>
      <c r="B30" s="1" t="s">
        <v>33</v>
      </c>
      <c r="C30" s="1" t="s">
        <v>42</v>
      </c>
      <c r="D30" s="1" t="s">
        <v>12</v>
      </c>
      <c r="E30" s="1">
        <v>77</v>
      </c>
      <c r="F30" s="1">
        <v>59</v>
      </c>
      <c r="G30" s="1">
        <v>81</v>
      </c>
      <c r="H30" s="1">
        <v>52</v>
      </c>
      <c r="I30" s="1">
        <v>79</v>
      </c>
    </row>
    <row r="31" spans="1:9" x14ac:dyDescent="0.25">
      <c r="A31" s="2" t="s">
        <v>9</v>
      </c>
      <c r="B31" s="2" t="s">
        <v>33</v>
      </c>
      <c r="C31" s="2" t="s">
        <v>43</v>
      </c>
      <c r="D31" s="2" t="s">
        <v>12</v>
      </c>
      <c r="E31" s="2">
        <v>56</v>
      </c>
      <c r="F31" s="2">
        <v>76</v>
      </c>
      <c r="G31" s="2">
        <v>88</v>
      </c>
      <c r="H31" s="2">
        <v>61</v>
      </c>
      <c r="I31" s="2">
        <v>94</v>
      </c>
    </row>
    <row r="32" spans="1:9" x14ac:dyDescent="0.25">
      <c r="A32" s="1" t="s">
        <v>9</v>
      </c>
      <c r="B32" s="1" t="s">
        <v>44</v>
      </c>
      <c r="C32" s="1" t="s">
        <v>45</v>
      </c>
      <c r="D32" s="1" t="s">
        <v>12</v>
      </c>
      <c r="E32" s="1">
        <v>30</v>
      </c>
      <c r="F32" s="1">
        <v>90</v>
      </c>
      <c r="G32" s="1">
        <v>17</v>
      </c>
      <c r="H32" s="1">
        <v>46</v>
      </c>
      <c r="I32" s="1">
        <v>68</v>
      </c>
    </row>
    <row r="33" spans="1:9" x14ac:dyDescent="0.25">
      <c r="A33" s="2" t="s">
        <v>9</v>
      </c>
      <c r="B33" s="2" t="s">
        <v>44</v>
      </c>
      <c r="C33" s="2" t="s">
        <v>46</v>
      </c>
      <c r="D33" s="2" t="s">
        <v>12</v>
      </c>
      <c r="E33" s="2">
        <v>82</v>
      </c>
      <c r="F33" s="2">
        <v>95</v>
      </c>
      <c r="G33" s="2">
        <v>92</v>
      </c>
      <c r="H33" s="2">
        <v>78</v>
      </c>
      <c r="I33" s="2">
        <v>73</v>
      </c>
    </row>
    <row r="34" spans="1:9" x14ac:dyDescent="0.25">
      <c r="A34" s="1" t="s">
        <v>9</v>
      </c>
      <c r="B34" s="1" t="s">
        <v>44</v>
      </c>
      <c r="C34" s="1" t="s">
        <v>47</v>
      </c>
      <c r="D34" s="1" t="s">
        <v>12</v>
      </c>
      <c r="E34" s="1">
        <v>47</v>
      </c>
      <c r="F34" s="1">
        <v>57</v>
      </c>
      <c r="G34" s="1">
        <v>38</v>
      </c>
      <c r="H34" s="1">
        <v>55</v>
      </c>
      <c r="I34" s="1">
        <v>13</v>
      </c>
    </row>
    <row r="35" spans="1:9" x14ac:dyDescent="0.25">
      <c r="A35" s="2" t="s">
        <v>9</v>
      </c>
      <c r="B35" s="2" t="s">
        <v>44</v>
      </c>
      <c r="C35" s="2" t="s">
        <v>48</v>
      </c>
      <c r="D35" s="2" t="s">
        <v>12</v>
      </c>
      <c r="E35" s="2">
        <v>18</v>
      </c>
      <c r="F35" s="2">
        <v>58</v>
      </c>
      <c r="G35" s="2">
        <v>69</v>
      </c>
      <c r="H35" s="2">
        <v>34</v>
      </c>
      <c r="I35" s="2">
        <v>49</v>
      </c>
    </row>
    <row r="36" spans="1:9" x14ac:dyDescent="0.25">
      <c r="A36" s="1" t="s">
        <v>9</v>
      </c>
      <c r="B36" s="1" t="s">
        <v>44</v>
      </c>
      <c r="C36" s="1" t="s">
        <v>49</v>
      </c>
      <c r="D36" s="1" t="s">
        <v>12</v>
      </c>
      <c r="E36" s="1">
        <v>72</v>
      </c>
      <c r="F36" s="1">
        <v>66</v>
      </c>
      <c r="G36" s="1">
        <v>22</v>
      </c>
      <c r="H36" s="1">
        <v>95</v>
      </c>
      <c r="I36" s="1">
        <v>82</v>
      </c>
    </row>
    <row r="37" spans="1:9" x14ac:dyDescent="0.25">
      <c r="A37" s="2" t="s">
        <v>9</v>
      </c>
      <c r="B37" s="2" t="s">
        <v>44</v>
      </c>
      <c r="C37" s="2" t="s">
        <v>50</v>
      </c>
      <c r="D37" s="2" t="s">
        <v>12</v>
      </c>
      <c r="E37" s="2">
        <v>14</v>
      </c>
      <c r="F37" s="2">
        <v>22</v>
      </c>
      <c r="G37" s="2">
        <v>24</v>
      </c>
      <c r="H37" s="2">
        <v>47</v>
      </c>
      <c r="I37" s="2">
        <v>36</v>
      </c>
    </row>
    <row r="38" spans="1:9" x14ac:dyDescent="0.25">
      <c r="A38" s="1" t="s">
        <v>9</v>
      </c>
      <c r="B38" s="1" t="s">
        <v>44</v>
      </c>
      <c r="C38" s="1" t="s">
        <v>51</v>
      </c>
      <c r="D38" s="1" t="s">
        <v>12</v>
      </c>
      <c r="E38" s="1">
        <v>31</v>
      </c>
      <c r="F38" s="1">
        <v>12</v>
      </c>
      <c r="G38" s="1">
        <v>37</v>
      </c>
      <c r="H38" s="1">
        <v>83</v>
      </c>
      <c r="I38" s="1">
        <v>62</v>
      </c>
    </row>
    <row r="39" spans="1:9" x14ac:dyDescent="0.25">
      <c r="A39" s="2" t="s">
        <v>9</v>
      </c>
      <c r="B39" s="2" t="s">
        <v>44</v>
      </c>
      <c r="C39" s="2" t="s">
        <v>52</v>
      </c>
      <c r="D39" s="2" t="s">
        <v>12</v>
      </c>
      <c r="E39" s="2">
        <v>38</v>
      </c>
      <c r="F39" s="2">
        <v>28</v>
      </c>
      <c r="G39" s="2">
        <v>77</v>
      </c>
      <c r="H39" s="2">
        <v>45</v>
      </c>
      <c r="I39" s="2">
        <v>76</v>
      </c>
    </row>
    <row r="40" spans="1:9" x14ac:dyDescent="0.25">
      <c r="A40" s="1" t="s">
        <v>9</v>
      </c>
      <c r="B40" s="1" t="s">
        <v>44</v>
      </c>
      <c r="C40" s="1" t="s">
        <v>53</v>
      </c>
      <c r="D40" s="1" t="s">
        <v>12</v>
      </c>
      <c r="E40" s="1">
        <v>33</v>
      </c>
      <c r="F40" s="1">
        <v>26</v>
      </c>
      <c r="G40" s="1">
        <v>85</v>
      </c>
      <c r="H40" s="1">
        <v>51</v>
      </c>
      <c r="I40" s="1">
        <v>60</v>
      </c>
    </row>
    <row r="41" spans="1:9" x14ac:dyDescent="0.25">
      <c r="A41" s="2" t="s">
        <v>9</v>
      </c>
      <c r="B41" s="2" t="s">
        <v>44</v>
      </c>
      <c r="C41" s="2" t="s">
        <v>54</v>
      </c>
      <c r="D41" s="2" t="s">
        <v>12</v>
      </c>
      <c r="E41" s="2">
        <v>57</v>
      </c>
      <c r="F41" s="2">
        <v>94</v>
      </c>
      <c r="G41" s="2">
        <v>30</v>
      </c>
      <c r="H41" s="2">
        <v>56</v>
      </c>
      <c r="I41" s="2">
        <v>83</v>
      </c>
    </row>
    <row r="42" spans="1:9" x14ac:dyDescent="0.25">
      <c r="A42" s="1" t="s">
        <v>9</v>
      </c>
      <c r="B42" s="1" t="s">
        <v>55</v>
      </c>
      <c r="C42" s="1" t="s">
        <v>56</v>
      </c>
      <c r="D42" s="1" t="s">
        <v>12</v>
      </c>
      <c r="E42" s="1">
        <v>89</v>
      </c>
      <c r="F42" s="1">
        <v>76</v>
      </c>
      <c r="G42" s="1">
        <v>19</v>
      </c>
      <c r="H42" s="1">
        <v>14</v>
      </c>
      <c r="I42" s="1">
        <v>53</v>
      </c>
    </row>
    <row r="43" spans="1:9" x14ac:dyDescent="0.25">
      <c r="A43" s="2" t="s">
        <v>9</v>
      </c>
      <c r="B43" s="2" t="s">
        <v>55</v>
      </c>
      <c r="C43" s="2" t="s">
        <v>57</v>
      </c>
      <c r="D43" s="2" t="s">
        <v>12</v>
      </c>
      <c r="E43" s="2">
        <v>82</v>
      </c>
      <c r="F43" s="2">
        <v>29</v>
      </c>
      <c r="G43" s="2">
        <v>77</v>
      </c>
      <c r="H43" s="2">
        <v>32</v>
      </c>
      <c r="I43" s="2">
        <v>23</v>
      </c>
    </row>
    <row r="44" spans="1:9" x14ac:dyDescent="0.25">
      <c r="A44" s="1" t="s">
        <v>9</v>
      </c>
      <c r="B44" s="1" t="s">
        <v>55</v>
      </c>
      <c r="C44" s="1" t="s">
        <v>58</v>
      </c>
      <c r="D44" s="1" t="s">
        <v>12</v>
      </c>
      <c r="E44" s="1">
        <v>79</v>
      </c>
      <c r="F44" s="1">
        <v>32</v>
      </c>
      <c r="G44" s="1">
        <v>88</v>
      </c>
      <c r="H44" s="1">
        <v>88</v>
      </c>
      <c r="I44" s="1">
        <v>33</v>
      </c>
    </row>
    <row r="45" spans="1:9" x14ac:dyDescent="0.25">
      <c r="A45" s="2" t="s">
        <v>9</v>
      </c>
      <c r="B45" s="2" t="s">
        <v>55</v>
      </c>
      <c r="C45" s="2" t="s">
        <v>59</v>
      </c>
      <c r="D45" s="2" t="s">
        <v>12</v>
      </c>
      <c r="E45" s="2">
        <v>63</v>
      </c>
      <c r="F45" s="2">
        <v>10</v>
      </c>
      <c r="G45" s="2">
        <v>39</v>
      </c>
      <c r="H45" s="2">
        <v>89</v>
      </c>
      <c r="I45" s="2">
        <v>99</v>
      </c>
    </row>
    <row r="46" spans="1:9" x14ac:dyDescent="0.25">
      <c r="A46" s="1" t="s">
        <v>9</v>
      </c>
      <c r="B46" s="1" t="s">
        <v>55</v>
      </c>
      <c r="C46" s="1" t="s">
        <v>60</v>
      </c>
      <c r="D46" s="1" t="s">
        <v>12</v>
      </c>
      <c r="E46" s="1">
        <v>49</v>
      </c>
      <c r="F46" s="1">
        <v>85</v>
      </c>
      <c r="G46" s="1">
        <v>17</v>
      </c>
      <c r="H46" s="1">
        <v>93</v>
      </c>
      <c r="I46" s="1">
        <v>95</v>
      </c>
    </row>
    <row r="47" spans="1:9" x14ac:dyDescent="0.25">
      <c r="A47" s="2" t="s">
        <v>9</v>
      </c>
      <c r="B47" s="2" t="s">
        <v>55</v>
      </c>
      <c r="C47" s="2" t="s">
        <v>61</v>
      </c>
      <c r="D47" s="2" t="s">
        <v>12</v>
      </c>
      <c r="E47" s="2">
        <v>48</v>
      </c>
      <c r="F47" s="2">
        <v>15</v>
      </c>
      <c r="G47" s="2">
        <v>64</v>
      </c>
      <c r="H47" s="2">
        <v>12</v>
      </c>
      <c r="I47" s="2">
        <v>95</v>
      </c>
    </row>
    <row r="48" spans="1:9" x14ac:dyDescent="0.25">
      <c r="A48" s="1" t="s">
        <v>9</v>
      </c>
      <c r="B48" s="1" t="s">
        <v>55</v>
      </c>
      <c r="C48" s="1" t="s">
        <v>62</v>
      </c>
      <c r="D48" s="1" t="s">
        <v>12</v>
      </c>
      <c r="E48" s="1">
        <v>88</v>
      </c>
      <c r="F48" s="1">
        <v>12</v>
      </c>
      <c r="G48" s="1">
        <v>50</v>
      </c>
      <c r="H48" s="1">
        <v>91</v>
      </c>
      <c r="I48" s="1">
        <v>28</v>
      </c>
    </row>
    <row r="49" spans="1:9" x14ac:dyDescent="0.25">
      <c r="A49" s="2" t="s">
        <v>9</v>
      </c>
      <c r="B49" s="2" t="s">
        <v>55</v>
      </c>
      <c r="C49" s="2" t="s">
        <v>63</v>
      </c>
      <c r="D49" s="2" t="s">
        <v>12</v>
      </c>
      <c r="E49" s="2">
        <v>40</v>
      </c>
      <c r="F49" s="2">
        <v>35</v>
      </c>
      <c r="G49" s="2">
        <v>66</v>
      </c>
      <c r="H49" s="2">
        <v>87</v>
      </c>
      <c r="I49" s="2">
        <v>99</v>
      </c>
    </row>
    <row r="50" spans="1:9" x14ac:dyDescent="0.25">
      <c r="A50" s="1" t="s">
        <v>9</v>
      </c>
      <c r="B50" s="1" t="s">
        <v>55</v>
      </c>
      <c r="C50" s="1" t="s">
        <v>64</v>
      </c>
      <c r="D50" s="1" t="s">
        <v>12</v>
      </c>
      <c r="E50" s="1">
        <v>63</v>
      </c>
      <c r="F50" s="1">
        <v>77</v>
      </c>
      <c r="G50" s="1">
        <v>95</v>
      </c>
      <c r="H50" s="1">
        <v>40</v>
      </c>
      <c r="I50" s="1">
        <v>74</v>
      </c>
    </row>
    <row r="51" spans="1:9" x14ac:dyDescent="0.25">
      <c r="A51" s="2" t="s">
        <v>9</v>
      </c>
      <c r="B51" s="2" t="s">
        <v>55</v>
      </c>
      <c r="C51" s="2" t="s">
        <v>65</v>
      </c>
      <c r="D51" s="2" t="s">
        <v>12</v>
      </c>
      <c r="E51" s="2">
        <v>26</v>
      </c>
      <c r="F51" s="2">
        <v>99</v>
      </c>
      <c r="G51" s="2">
        <v>39</v>
      </c>
      <c r="H51" s="2">
        <v>27</v>
      </c>
      <c r="I51" s="2">
        <v>61</v>
      </c>
    </row>
    <row r="52" spans="1:9" x14ac:dyDescent="0.25">
      <c r="A52" s="1" t="s">
        <v>9</v>
      </c>
      <c r="B52" s="1" t="s">
        <v>66</v>
      </c>
      <c r="C52" s="1" t="s">
        <v>67</v>
      </c>
      <c r="D52" s="1" t="s">
        <v>12</v>
      </c>
      <c r="E52" s="1">
        <v>24</v>
      </c>
      <c r="F52" s="1">
        <v>57</v>
      </c>
      <c r="G52" s="1">
        <v>38</v>
      </c>
      <c r="H52" s="1">
        <v>45</v>
      </c>
      <c r="I52" s="1">
        <v>63</v>
      </c>
    </row>
    <row r="53" spans="1:9" x14ac:dyDescent="0.25">
      <c r="A53" s="2" t="s">
        <v>9</v>
      </c>
      <c r="B53" s="2" t="s">
        <v>66</v>
      </c>
      <c r="C53" s="2" t="s">
        <v>68</v>
      </c>
      <c r="D53" s="2" t="s">
        <v>12</v>
      </c>
      <c r="E53" s="2">
        <v>33</v>
      </c>
      <c r="F53" s="2">
        <v>35</v>
      </c>
      <c r="G53" s="2">
        <v>24</v>
      </c>
      <c r="H53" s="2">
        <v>92</v>
      </c>
      <c r="I53" s="2">
        <v>48</v>
      </c>
    </row>
    <row r="54" spans="1:9" x14ac:dyDescent="0.25">
      <c r="A54" s="1" t="s">
        <v>9</v>
      </c>
      <c r="B54" s="1" t="s">
        <v>66</v>
      </c>
      <c r="C54" s="1" t="s">
        <v>69</v>
      </c>
      <c r="D54" s="1" t="s">
        <v>12</v>
      </c>
      <c r="E54" s="1">
        <v>16</v>
      </c>
      <c r="F54" s="1">
        <v>48</v>
      </c>
      <c r="G54" s="1">
        <v>74</v>
      </c>
      <c r="H54" s="1">
        <v>64</v>
      </c>
      <c r="I54" s="1">
        <v>49</v>
      </c>
    </row>
    <row r="55" spans="1:9" x14ac:dyDescent="0.25">
      <c r="A55" s="2" t="s">
        <v>9</v>
      </c>
      <c r="B55" s="2" t="s">
        <v>66</v>
      </c>
      <c r="C55" s="2" t="s">
        <v>70</v>
      </c>
      <c r="D55" s="2" t="s">
        <v>12</v>
      </c>
      <c r="E55" s="2">
        <v>32</v>
      </c>
      <c r="F55" s="2">
        <v>28</v>
      </c>
      <c r="G55" s="2">
        <v>28</v>
      </c>
      <c r="H55" s="2">
        <v>49</v>
      </c>
      <c r="I55" s="2">
        <v>84</v>
      </c>
    </row>
    <row r="56" spans="1:9" x14ac:dyDescent="0.25">
      <c r="A56" s="1" t="s">
        <v>9</v>
      </c>
      <c r="B56" s="1" t="s">
        <v>66</v>
      </c>
      <c r="C56" s="1" t="s">
        <v>71</v>
      </c>
      <c r="D56" s="1" t="s">
        <v>12</v>
      </c>
      <c r="E56" s="1">
        <v>70</v>
      </c>
      <c r="F56" s="1">
        <v>79</v>
      </c>
      <c r="G56" s="1">
        <v>72</v>
      </c>
      <c r="H56" s="1">
        <v>15</v>
      </c>
      <c r="I56" s="1">
        <v>13</v>
      </c>
    </row>
    <row r="57" spans="1:9" x14ac:dyDescent="0.25">
      <c r="A57" s="2" t="s">
        <v>9</v>
      </c>
      <c r="B57" s="2" t="s">
        <v>66</v>
      </c>
      <c r="C57" s="2" t="s">
        <v>72</v>
      </c>
      <c r="D57" s="2" t="s">
        <v>12</v>
      </c>
      <c r="E57" s="2">
        <v>33</v>
      </c>
      <c r="F57" s="2">
        <v>27</v>
      </c>
      <c r="G57" s="2">
        <v>87</v>
      </c>
      <c r="H57" s="2">
        <v>12</v>
      </c>
      <c r="I57" s="2">
        <v>33</v>
      </c>
    </row>
    <row r="58" spans="1:9" x14ac:dyDescent="0.25">
      <c r="A58" s="1" t="s">
        <v>9</v>
      </c>
      <c r="B58" s="1" t="s">
        <v>66</v>
      </c>
      <c r="C58" s="1" t="s">
        <v>73</v>
      </c>
      <c r="D58" s="1" t="s">
        <v>12</v>
      </c>
      <c r="E58" s="1">
        <v>74</v>
      </c>
      <c r="F58" s="1">
        <v>86</v>
      </c>
      <c r="G58" s="1">
        <v>60</v>
      </c>
      <c r="H58" s="1">
        <v>50</v>
      </c>
      <c r="I58" s="1">
        <v>81</v>
      </c>
    </row>
    <row r="59" spans="1:9" x14ac:dyDescent="0.25">
      <c r="A59" s="2" t="s">
        <v>9</v>
      </c>
      <c r="B59" s="2" t="s">
        <v>66</v>
      </c>
      <c r="C59" s="2" t="s">
        <v>74</v>
      </c>
      <c r="D59" s="2" t="s">
        <v>12</v>
      </c>
      <c r="E59" s="2">
        <v>81</v>
      </c>
      <c r="F59" s="2">
        <v>39</v>
      </c>
      <c r="G59" s="2">
        <v>70</v>
      </c>
      <c r="H59" s="2">
        <v>23</v>
      </c>
      <c r="I59" s="2">
        <v>30</v>
      </c>
    </row>
    <row r="60" spans="1:9" x14ac:dyDescent="0.25">
      <c r="A60" s="1" t="s">
        <v>9</v>
      </c>
      <c r="B60" s="1" t="s">
        <v>66</v>
      </c>
      <c r="C60" s="1" t="s">
        <v>75</v>
      </c>
      <c r="D60" s="1" t="s">
        <v>12</v>
      </c>
      <c r="E60" s="1">
        <v>57</v>
      </c>
      <c r="F60" s="1">
        <v>10</v>
      </c>
      <c r="G60" s="1">
        <v>21</v>
      </c>
      <c r="H60" s="1">
        <v>57</v>
      </c>
      <c r="I60" s="1">
        <v>30</v>
      </c>
    </row>
    <row r="61" spans="1:9" x14ac:dyDescent="0.25">
      <c r="A61" s="2" t="s">
        <v>9</v>
      </c>
      <c r="B61" s="2" t="s">
        <v>66</v>
      </c>
      <c r="C61" s="2" t="s">
        <v>76</v>
      </c>
      <c r="D61" s="2" t="s">
        <v>12</v>
      </c>
      <c r="E61" s="2">
        <v>80</v>
      </c>
      <c r="F61" s="2">
        <v>33</v>
      </c>
      <c r="G61" s="2">
        <v>67</v>
      </c>
      <c r="H61" s="2">
        <v>48</v>
      </c>
      <c r="I61" s="2">
        <v>13</v>
      </c>
    </row>
    <row r="62" spans="1:9" x14ac:dyDescent="0.25">
      <c r="A62" s="1" t="s">
        <v>9</v>
      </c>
      <c r="B62" s="1" t="s">
        <v>77</v>
      </c>
      <c r="C62" s="1" t="s">
        <v>78</v>
      </c>
      <c r="D62" s="1" t="s">
        <v>12</v>
      </c>
      <c r="E62" s="1">
        <v>90</v>
      </c>
      <c r="F62" s="1">
        <v>97</v>
      </c>
      <c r="G62" s="1">
        <v>62</v>
      </c>
      <c r="H62" s="1">
        <v>87</v>
      </c>
      <c r="I62" s="1">
        <v>55</v>
      </c>
    </row>
    <row r="63" spans="1:9" x14ac:dyDescent="0.25">
      <c r="A63" s="2" t="s">
        <v>9</v>
      </c>
      <c r="B63" s="2" t="s">
        <v>77</v>
      </c>
      <c r="C63" s="2" t="s">
        <v>79</v>
      </c>
      <c r="D63" s="2" t="s">
        <v>12</v>
      </c>
      <c r="E63" s="2">
        <v>94</v>
      </c>
      <c r="F63" s="2">
        <v>46</v>
      </c>
      <c r="G63" s="2">
        <v>43</v>
      </c>
      <c r="H63" s="2">
        <v>23</v>
      </c>
      <c r="I63" s="2">
        <v>89</v>
      </c>
    </row>
    <row r="64" spans="1:9" x14ac:dyDescent="0.25">
      <c r="A64" s="1" t="s">
        <v>9</v>
      </c>
      <c r="B64" s="1" t="s">
        <v>77</v>
      </c>
      <c r="C64" s="1" t="s">
        <v>80</v>
      </c>
      <c r="D64" s="1" t="s">
        <v>12</v>
      </c>
      <c r="E64" s="1">
        <v>66</v>
      </c>
      <c r="F64" s="1">
        <v>60</v>
      </c>
      <c r="G64" s="1">
        <v>47</v>
      </c>
      <c r="H64" s="1">
        <v>23</v>
      </c>
      <c r="I64" s="1">
        <v>62</v>
      </c>
    </row>
    <row r="65" spans="1:9" x14ac:dyDescent="0.25">
      <c r="A65" s="2" t="s">
        <v>9</v>
      </c>
      <c r="B65" s="2" t="s">
        <v>77</v>
      </c>
      <c r="C65" s="2" t="s">
        <v>81</v>
      </c>
      <c r="D65" s="2" t="s">
        <v>12</v>
      </c>
      <c r="E65" s="2">
        <v>26</v>
      </c>
      <c r="F65" s="2">
        <v>93</v>
      </c>
      <c r="G65" s="2">
        <v>53</v>
      </c>
      <c r="H65" s="2">
        <v>10</v>
      </c>
      <c r="I65" s="2">
        <v>74</v>
      </c>
    </row>
    <row r="66" spans="1:9" x14ac:dyDescent="0.25">
      <c r="A66" s="1" t="s">
        <v>9</v>
      </c>
      <c r="B66" s="1" t="s">
        <v>77</v>
      </c>
      <c r="C66" s="1" t="s">
        <v>82</v>
      </c>
      <c r="D66" s="1" t="s">
        <v>12</v>
      </c>
      <c r="E66" s="1">
        <v>22</v>
      </c>
      <c r="F66" s="1">
        <v>31</v>
      </c>
      <c r="G66" s="1">
        <v>63</v>
      </c>
      <c r="H66" s="1">
        <v>27</v>
      </c>
      <c r="I66" s="1">
        <v>99</v>
      </c>
    </row>
    <row r="67" spans="1:9" x14ac:dyDescent="0.25">
      <c r="A67" s="2" t="s">
        <v>9</v>
      </c>
      <c r="B67" s="2" t="s">
        <v>77</v>
      </c>
      <c r="C67" s="2" t="s">
        <v>83</v>
      </c>
      <c r="D67" s="2" t="s">
        <v>12</v>
      </c>
      <c r="E67" s="2">
        <v>21</v>
      </c>
      <c r="F67" s="2">
        <v>76</v>
      </c>
      <c r="G67" s="2">
        <v>61</v>
      </c>
      <c r="H67" s="2">
        <v>25</v>
      </c>
      <c r="I67" s="2">
        <v>19</v>
      </c>
    </row>
    <row r="68" spans="1:9" x14ac:dyDescent="0.25">
      <c r="A68" s="1" t="s">
        <v>9</v>
      </c>
      <c r="B68" s="1" t="s">
        <v>77</v>
      </c>
      <c r="C68" s="1" t="s">
        <v>84</v>
      </c>
      <c r="D68" s="1" t="s">
        <v>12</v>
      </c>
      <c r="E68" s="1">
        <v>16</v>
      </c>
      <c r="F68" s="1">
        <v>36</v>
      </c>
      <c r="G68" s="1">
        <v>33</v>
      </c>
      <c r="H68" s="1">
        <v>54</v>
      </c>
      <c r="I68" s="1">
        <v>28</v>
      </c>
    </row>
    <row r="69" spans="1:9" x14ac:dyDescent="0.25">
      <c r="A69" s="2" t="s">
        <v>9</v>
      </c>
      <c r="B69" s="2" t="s">
        <v>77</v>
      </c>
      <c r="C69" s="2" t="s">
        <v>85</v>
      </c>
      <c r="D69" s="2" t="s">
        <v>12</v>
      </c>
      <c r="E69" s="2">
        <v>56</v>
      </c>
      <c r="F69" s="2">
        <v>19</v>
      </c>
      <c r="G69" s="2">
        <v>25</v>
      </c>
      <c r="H69" s="2">
        <v>32</v>
      </c>
      <c r="I69" s="2">
        <v>78</v>
      </c>
    </row>
    <row r="70" spans="1:9" x14ac:dyDescent="0.25">
      <c r="A70" s="1" t="s">
        <v>9</v>
      </c>
      <c r="B70" s="1" t="s">
        <v>77</v>
      </c>
      <c r="C70" s="1" t="s">
        <v>86</v>
      </c>
      <c r="D70" s="1" t="s">
        <v>12</v>
      </c>
      <c r="E70" s="1">
        <v>38</v>
      </c>
      <c r="F70" s="1">
        <v>98</v>
      </c>
      <c r="G70" s="1">
        <v>83</v>
      </c>
      <c r="H70" s="1">
        <v>28</v>
      </c>
      <c r="I70" s="1">
        <v>30</v>
      </c>
    </row>
    <row r="71" spans="1:9" x14ac:dyDescent="0.25">
      <c r="A71" s="2" t="s">
        <v>9</v>
      </c>
      <c r="B71" s="2" t="s">
        <v>77</v>
      </c>
      <c r="C71" s="2" t="s">
        <v>87</v>
      </c>
      <c r="D71" s="2" t="s">
        <v>12</v>
      </c>
      <c r="E71" s="2">
        <v>70</v>
      </c>
      <c r="F71" s="2">
        <v>75</v>
      </c>
      <c r="G71" s="2">
        <v>89</v>
      </c>
      <c r="H71" s="2">
        <v>65</v>
      </c>
      <c r="I71" s="2">
        <v>27</v>
      </c>
    </row>
    <row r="72" spans="1:9" x14ac:dyDescent="0.25">
      <c r="A72" s="1" t="s">
        <v>9</v>
      </c>
      <c r="B72" s="1" t="s">
        <v>88</v>
      </c>
      <c r="C72" s="1" t="s">
        <v>89</v>
      </c>
      <c r="D72" s="1" t="s">
        <v>12</v>
      </c>
      <c r="E72" s="1">
        <v>24</v>
      </c>
      <c r="F72" s="1">
        <v>60</v>
      </c>
      <c r="G72" s="1">
        <v>35</v>
      </c>
      <c r="H72" s="1">
        <v>86</v>
      </c>
      <c r="I72" s="1">
        <v>50</v>
      </c>
    </row>
    <row r="73" spans="1:9" x14ac:dyDescent="0.25">
      <c r="A73" s="2" t="s">
        <v>9</v>
      </c>
      <c r="B73" s="2" t="s">
        <v>88</v>
      </c>
      <c r="C73" s="2" t="s">
        <v>90</v>
      </c>
      <c r="D73" s="2" t="s">
        <v>12</v>
      </c>
      <c r="E73" s="2">
        <v>60</v>
      </c>
      <c r="F73" s="2">
        <v>41</v>
      </c>
      <c r="G73" s="2">
        <v>43</v>
      </c>
      <c r="H73" s="2">
        <v>81</v>
      </c>
      <c r="I73" s="2">
        <v>86</v>
      </c>
    </row>
    <row r="74" spans="1:9" x14ac:dyDescent="0.25">
      <c r="A74" s="1" t="s">
        <v>9</v>
      </c>
      <c r="B74" s="1" t="s">
        <v>88</v>
      </c>
      <c r="C74" s="1" t="s">
        <v>91</v>
      </c>
      <c r="D74" s="1" t="s">
        <v>12</v>
      </c>
      <c r="E74" s="1">
        <v>100</v>
      </c>
      <c r="F74" s="1">
        <v>43</v>
      </c>
      <c r="G74" s="1">
        <v>23</v>
      </c>
      <c r="H74" s="1">
        <v>95</v>
      </c>
      <c r="I74" s="1">
        <v>48</v>
      </c>
    </row>
    <row r="75" spans="1:9" x14ac:dyDescent="0.25">
      <c r="A75" s="2" t="s">
        <v>9</v>
      </c>
      <c r="B75" s="2" t="s">
        <v>88</v>
      </c>
      <c r="C75" s="2" t="s">
        <v>92</v>
      </c>
      <c r="D75" s="2" t="s">
        <v>12</v>
      </c>
      <c r="E75" s="2">
        <v>52</v>
      </c>
      <c r="F75" s="2">
        <v>19</v>
      </c>
      <c r="G75" s="2">
        <v>84</v>
      </c>
      <c r="H75" s="2">
        <v>66</v>
      </c>
      <c r="I75" s="2">
        <v>36</v>
      </c>
    </row>
    <row r="76" spans="1:9" x14ac:dyDescent="0.25">
      <c r="A76" s="1" t="s">
        <v>9</v>
      </c>
      <c r="B76" s="1" t="s">
        <v>88</v>
      </c>
      <c r="C76" s="1" t="s">
        <v>93</v>
      </c>
      <c r="D76" s="1" t="s">
        <v>12</v>
      </c>
      <c r="E76" s="1">
        <v>10</v>
      </c>
      <c r="F76" s="1">
        <v>83</v>
      </c>
      <c r="G76" s="1">
        <v>65</v>
      </c>
      <c r="H76" s="1">
        <v>11</v>
      </c>
      <c r="I76" s="1">
        <v>41</v>
      </c>
    </row>
    <row r="77" spans="1:9" x14ac:dyDescent="0.25">
      <c r="A77" s="2" t="s">
        <v>9</v>
      </c>
      <c r="B77" s="2" t="s">
        <v>88</v>
      </c>
      <c r="C77" s="2" t="s">
        <v>94</v>
      </c>
      <c r="D77" s="2" t="s">
        <v>12</v>
      </c>
      <c r="E77" s="2">
        <v>42</v>
      </c>
      <c r="F77" s="2">
        <v>34</v>
      </c>
      <c r="G77" s="2">
        <v>23</v>
      </c>
      <c r="H77" s="2">
        <v>95</v>
      </c>
      <c r="I77" s="2">
        <v>74</v>
      </c>
    </row>
    <row r="78" spans="1:9" x14ac:dyDescent="0.25">
      <c r="A78" s="1" t="s">
        <v>9</v>
      </c>
      <c r="B78" s="1" t="s">
        <v>88</v>
      </c>
      <c r="C78" s="1" t="s">
        <v>95</v>
      </c>
      <c r="D78" s="1" t="s">
        <v>12</v>
      </c>
      <c r="E78" s="1">
        <v>50</v>
      </c>
      <c r="F78" s="1">
        <v>40</v>
      </c>
      <c r="G78" s="1">
        <v>71</v>
      </c>
      <c r="H78" s="1">
        <v>76</v>
      </c>
      <c r="I78" s="1">
        <v>92</v>
      </c>
    </row>
    <row r="79" spans="1:9" x14ac:dyDescent="0.25">
      <c r="A79" s="2" t="s">
        <v>9</v>
      </c>
      <c r="B79" s="2" t="s">
        <v>88</v>
      </c>
      <c r="C79" s="2" t="s">
        <v>96</v>
      </c>
      <c r="D79" s="2" t="s">
        <v>12</v>
      </c>
      <c r="E79" s="2">
        <v>70</v>
      </c>
      <c r="F79" s="2">
        <v>42</v>
      </c>
      <c r="G79" s="2">
        <v>32</v>
      </c>
      <c r="H79" s="2">
        <v>54</v>
      </c>
      <c r="I79" s="2">
        <v>35</v>
      </c>
    </row>
    <row r="80" spans="1:9" x14ac:dyDescent="0.25">
      <c r="A80" s="1" t="s">
        <v>9</v>
      </c>
      <c r="B80" s="1" t="s">
        <v>88</v>
      </c>
      <c r="C80" s="1" t="s">
        <v>97</v>
      </c>
      <c r="D80" s="1" t="s">
        <v>12</v>
      </c>
      <c r="E80" s="1">
        <v>70</v>
      </c>
      <c r="F80" s="1">
        <v>41</v>
      </c>
      <c r="G80" s="1">
        <v>99</v>
      </c>
      <c r="H80" s="1">
        <v>69</v>
      </c>
      <c r="I80" s="1">
        <v>37</v>
      </c>
    </row>
    <row r="81" spans="1:9" x14ac:dyDescent="0.25">
      <c r="A81" s="2" t="s">
        <v>9</v>
      </c>
      <c r="B81" s="2" t="s">
        <v>88</v>
      </c>
      <c r="C81" s="2" t="s">
        <v>98</v>
      </c>
      <c r="D81" s="2" t="s">
        <v>12</v>
      </c>
      <c r="E81" s="2">
        <v>38</v>
      </c>
      <c r="F81" s="2">
        <v>84</v>
      </c>
      <c r="G81" s="2">
        <v>68</v>
      </c>
      <c r="H81" s="2">
        <v>87</v>
      </c>
      <c r="I81" s="2">
        <v>10</v>
      </c>
    </row>
    <row r="82" spans="1:9" x14ac:dyDescent="0.25">
      <c r="A82" s="1" t="s">
        <v>99</v>
      </c>
      <c r="B82" s="1" t="s">
        <v>10</v>
      </c>
      <c r="C82" s="1" t="s">
        <v>11</v>
      </c>
      <c r="D82" s="1" t="s">
        <v>12</v>
      </c>
      <c r="E82" s="1">
        <v>23</v>
      </c>
      <c r="F82" s="1">
        <v>47</v>
      </c>
      <c r="G82" s="1">
        <v>67</v>
      </c>
      <c r="H82" s="1">
        <v>93</v>
      </c>
      <c r="I82" s="1">
        <v>36</v>
      </c>
    </row>
    <row r="83" spans="1:9" x14ac:dyDescent="0.25">
      <c r="A83" s="2" t="s">
        <v>99</v>
      </c>
      <c r="B83" s="2" t="s">
        <v>10</v>
      </c>
      <c r="C83" s="2" t="s">
        <v>13</v>
      </c>
      <c r="D83" s="2" t="s">
        <v>12</v>
      </c>
      <c r="E83" s="2">
        <v>82</v>
      </c>
      <c r="F83" s="2">
        <v>96</v>
      </c>
      <c r="G83" s="2">
        <v>85</v>
      </c>
      <c r="H83" s="2">
        <v>16</v>
      </c>
      <c r="I83" s="2">
        <v>23</v>
      </c>
    </row>
    <row r="84" spans="1:9" x14ac:dyDescent="0.25">
      <c r="A84" s="1" t="s">
        <v>99</v>
      </c>
      <c r="B84" s="1" t="s">
        <v>10</v>
      </c>
      <c r="C84" s="1" t="s">
        <v>14</v>
      </c>
      <c r="D84" s="1" t="s">
        <v>12</v>
      </c>
      <c r="E84" s="1">
        <v>60</v>
      </c>
      <c r="F84" s="1">
        <v>44</v>
      </c>
      <c r="G84" s="1">
        <v>88</v>
      </c>
      <c r="H84" s="1">
        <v>54</v>
      </c>
      <c r="I84" s="1">
        <v>14</v>
      </c>
    </row>
    <row r="85" spans="1:9" x14ac:dyDescent="0.25">
      <c r="A85" s="2" t="s">
        <v>99</v>
      </c>
      <c r="B85" s="2" t="s">
        <v>10</v>
      </c>
      <c r="C85" s="2" t="s">
        <v>15</v>
      </c>
      <c r="D85" s="2" t="s">
        <v>12</v>
      </c>
      <c r="E85" s="2">
        <v>100</v>
      </c>
      <c r="F85" s="2">
        <v>86</v>
      </c>
      <c r="G85" s="2">
        <v>86</v>
      </c>
      <c r="H85" s="2">
        <v>53</v>
      </c>
      <c r="I85" s="2">
        <v>14</v>
      </c>
    </row>
    <row r="86" spans="1:9" x14ac:dyDescent="0.25">
      <c r="A86" s="1" t="s">
        <v>99</v>
      </c>
      <c r="B86" s="1" t="s">
        <v>10</v>
      </c>
      <c r="C86" s="1" t="s">
        <v>16</v>
      </c>
      <c r="D86" s="1" t="s">
        <v>12</v>
      </c>
      <c r="E86" s="1">
        <v>51</v>
      </c>
      <c r="F86" s="1">
        <v>24</v>
      </c>
      <c r="G86" s="1">
        <v>66</v>
      </c>
      <c r="H86" s="1">
        <v>77</v>
      </c>
      <c r="I86" s="1">
        <v>34</v>
      </c>
    </row>
    <row r="87" spans="1:9" x14ac:dyDescent="0.25">
      <c r="A87" s="2" t="s">
        <v>99</v>
      </c>
      <c r="B87" s="2" t="s">
        <v>10</v>
      </c>
      <c r="C87" s="2" t="s">
        <v>17</v>
      </c>
      <c r="D87" s="2" t="s">
        <v>12</v>
      </c>
      <c r="E87" s="2">
        <v>61</v>
      </c>
      <c r="F87" s="2">
        <v>38</v>
      </c>
      <c r="G87" s="2">
        <v>90</v>
      </c>
      <c r="H87" s="2">
        <v>36</v>
      </c>
      <c r="I87" s="2">
        <v>82</v>
      </c>
    </row>
    <row r="88" spans="1:9" x14ac:dyDescent="0.25">
      <c r="A88" s="1" t="s">
        <v>99</v>
      </c>
      <c r="B88" s="1" t="s">
        <v>10</v>
      </c>
      <c r="C88" s="1" t="s">
        <v>18</v>
      </c>
      <c r="D88" s="1" t="s">
        <v>12</v>
      </c>
      <c r="E88" s="1">
        <v>47</v>
      </c>
      <c r="F88" s="1">
        <v>37</v>
      </c>
      <c r="G88" s="1">
        <v>35</v>
      </c>
      <c r="H88" s="1">
        <v>89</v>
      </c>
      <c r="I88" s="1">
        <v>16</v>
      </c>
    </row>
    <row r="89" spans="1:9" x14ac:dyDescent="0.25">
      <c r="A89" s="2" t="s">
        <v>99</v>
      </c>
      <c r="B89" s="2" t="s">
        <v>10</v>
      </c>
      <c r="C89" s="2" t="s">
        <v>19</v>
      </c>
      <c r="D89" s="2" t="s">
        <v>12</v>
      </c>
      <c r="E89" s="2">
        <v>76</v>
      </c>
      <c r="F89" s="2">
        <v>51</v>
      </c>
      <c r="G89" s="2">
        <v>33</v>
      </c>
      <c r="H89" s="2">
        <v>62</v>
      </c>
      <c r="I89" s="2">
        <v>42</v>
      </c>
    </row>
    <row r="90" spans="1:9" x14ac:dyDescent="0.25">
      <c r="A90" s="1" t="s">
        <v>99</v>
      </c>
      <c r="B90" s="1" t="s">
        <v>10</v>
      </c>
      <c r="C90" s="1" t="s">
        <v>20</v>
      </c>
      <c r="D90" s="1" t="s">
        <v>12</v>
      </c>
      <c r="E90" s="1">
        <v>45</v>
      </c>
      <c r="F90" s="1">
        <v>35</v>
      </c>
      <c r="G90" s="1">
        <v>32</v>
      </c>
      <c r="H90" s="1">
        <v>44</v>
      </c>
      <c r="I90" s="1">
        <v>48</v>
      </c>
    </row>
    <row r="91" spans="1:9" x14ac:dyDescent="0.25">
      <c r="A91" s="2" t="s">
        <v>99</v>
      </c>
      <c r="B91" s="2" t="s">
        <v>10</v>
      </c>
      <c r="C91" s="2" t="s">
        <v>21</v>
      </c>
      <c r="D91" s="2" t="s">
        <v>12</v>
      </c>
      <c r="E91" s="2">
        <v>81</v>
      </c>
      <c r="F91" s="2">
        <v>19</v>
      </c>
      <c r="G91" s="2">
        <v>98</v>
      </c>
      <c r="H91" s="2">
        <v>46</v>
      </c>
      <c r="I91" s="2">
        <v>20</v>
      </c>
    </row>
    <row r="92" spans="1:9" x14ac:dyDescent="0.25">
      <c r="A92" s="1" t="s">
        <v>99</v>
      </c>
      <c r="B92" s="1" t="s">
        <v>22</v>
      </c>
      <c r="C92" s="1" t="s">
        <v>23</v>
      </c>
      <c r="D92" s="1" t="s">
        <v>12</v>
      </c>
      <c r="E92" s="1">
        <v>16</v>
      </c>
      <c r="F92" s="1">
        <v>66</v>
      </c>
      <c r="G92" s="1">
        <v>90</v>
      </c>
      <c r="H92" s="1">
        <v>61</v>
      </c>
      <c r="I92" s="1">
        <v>64</v>
      </c>
    </row>
    <row r="93" spans="1:9" x14ac:dyDescent="0.25">
      <c r="A93" s="2" t="s">
        <v>99</v>
      </c>
      <c r="B93" s="2" t="s">
        <v>22</v>
      </c>
      <c r="C93" s="2" t="s">
        <v>24</v>
      </c>
      <c r="D93" s="2" t="s">
        <v>12</v>
      </c>
      <c r="E93" s="2">
        <v>79</v>
      </c>
      <c r="F93" s="2">
        <v>28</v>
      </c>
      <c r="G93" s="2">
        <v>64</v>
      </c>
      <c r="H93" s="2">
        <v>94</v>
      </c>
      <c r="I93" s="2">
        <v>29</v>
      </c>
    </row>
    <row r="94" spans="1:9" x14ac:dyDescent="0.25">
      <c r="A94" s="1" t="s">
        <v>99</v>
      </c>
      <c r="B94" s="1" t="s">
        <v>22</v>
      </c>
      <c r="C94" s="1" t="s">
        <v>25</v>
      </c>
      <c r="D94" s="1" t="s">
        <v>12</v>
      </c>
      <c r="E94" s="1">
        <v>79</v>
      </c>
      <c r="F94" s="1">
        <v>99</v>
      </c>
      <c r="G94" s="1">
        <v>99</v>
      </c>
      <c r="H94" s="1">
        <v>50</v>
      </c>
      <c r="I94" s="1">
        <v>90</v>
      </c>
    </row>
    <row r="95" spans="1:9" x14ac:dyDescent="0.25">
      <c r="A95" s="2" t="s">
        <v>99</v>
      </c>
      <c r="B95" s="2" t="s">
        <v>22</v>
      </c>
      <c r="C95" s="2" t="s">
        <v>26</v>
      </c>
      <c r="D95" s="2" t="s">
        <v>12</v>
      </c>
      <c r="E95" s="2">
        <v>16</v>
      </c>
      <c r="F95" s="2">
        <v>77</v>
      </c>
      <c r="G95" s="2">
        <v>43</v>
      </c>
      <c r="H95" s="2">
        <v>45</v>
      </c>
      <c r="I95" s="2">
        <v>38</v>
      </c>
    </row>
    <row r="96" spans="1:9" x14ac:dyDescent="0.25">
      <c r="A96" s="1" t="s">
        <v>99</v>
      </c>
      <c r="B96" s="1" t="s">
        <v>22</v>
      </c>
      <c r="C96" s="1" t="s">
        <v>27</v>
      </c>
      <c r="D96" s="1" t="s">
        <v>12</v>
      </c>
      <c r="E96" s="1">
        <v>16</v>
      </c>
      <c r="F96" s="1">
        <v>72</v>
      </c>
      <c r="G96" s="1">
        <v>47</v>
      </c>
      <c r="H96" s="1">
        <v>92</v>
      </c>
      <c r="I96" s="1">
        <v>12</v>
      </c>
    </row>
    <row r="97" spans="1:9" x14ac:dyDescent="0.25">
      <c r="A97" s="2" t="s">
        <v>99</v>
      </c>
      <c r="B97" s="2" t="s">
        <v>22</v>
      </c>
      <c r="C97" s="2" t="s">
        <v>28</v>
      </c>
      <c r="D97" s="2" t="s">
        <v>12</v>
      </c>
      <c r="E97" s="2">
        <v>47</v>
      </c>
      <c r="F97" s="2">
        <v>65</v>
      </c>
      <c r="G97" s="2">
        <v>86</v>
      </c>
      <c r="H97" s="2">
        <v>97</v>
      </c>
      <c r="I97" s="2">
        <v>17</v>
      </c>
    </row>
    <row r="98" spans="1:9" x14ac:dyDescent="0.25">
      <c r="A98" s="1" t="s">
        <v>99</v>
      </c>
      <c r="B98" s="1" t="s">
        <v>22</v>
      </c>
      <c r="C98" s="1" t="s">
        <v>29</v>
      </c>
      <c r="D98" s="1" t="s">
        <v>12</v>
      </c>
      <c r="E98" s="1">
        <v>53</v>
      </c>
      <c r="F98" s="1">
        <v>69</v>
      </c>
      <c r="G98" s="1">
        <v>83</v>
      </c>
      <c r="H98" s="1">
        <v>77</v>
      </c>
      <c r="I98" s="1">
        <v>36</v>
      </c>
    </row>
    <row r="99" spans="1:9" x14ac:dyDescent="0.25">
      <c r="A99" s="2" t="s">
        <v>99</v>
      </c>
      <c r="B99" s="2" t="s">
        <v>22</v>
      </c>
      <c r="C99" s="2" t="s">
        <v>30</v>
      </c>
      <c r="D99" s="2" t="s">
        <v>12</v>
      </c>
      <c r="E99" s="2">
        <v>50</v>
      </c>
      <c r="F99" s="2">
        <v>63</v>
      </c>
      <c r="G99" s="2">
        <v>29</v>
      </c>
      <c r="H99" s="2">
        <v>44</v>
      </c>
      <c r="I99" s="2">
        <v>84</v>
      </c>
    </row>
    <row r="100" spans="1:9" x14ac:dyDescent="0.25">
      <c r="A100" s="1" t="s">
        <v>99</v>
      </c>
      <c r="B100" s="1" t="s">
        <v>22</v>
      </c>
      <c r="C100" s="1" t="s">
        <v>31</v>
      </c>
      <c r="D100" s="1" t="s">
        <v>12</v>
      </c>
      <c r="E100" s="1">
        <v>99</v>
      </c>
      <c r="F100" s="1">
        <v>58</v>
      </c>
      <c r="G100" s="1">
        <v>32</v>
      </c>
      <c r="H100" s="1">
        <v>27</v>
      </c>
      <c r="I100" s="1">
        <v>13</v>
      </c>
    </row>
    <row r="101" spans="1:9" x14ac:dyDescent="0.25">
      <c r="A101" s="2" t="s">
        <v>99</v>
      </c>
      <c r="B101" s="2" t="s">
        <v>22</v>
      </c>
      <c r="C101" s="2" t="s">
        <v>32</v>
      </c>
      <c r="D101" s="2" t="s">
        <v>12</v>
      </c>
      <c r="E101" s="2">
        <v>43</v>
      </c>
      <c r="F101" s="2">
        <v>88</v>
      </c>
      <c r="G101" s="2">
        <v>25</v>
      </c>
      <c r="H101" s="2">
        <v>34</v>
      </c>
      <c r="I101" s="2">
        <v>24</v>
      </c>
    </row>
    <row r="102" spans="1:9" x14ac:dyDescent="0.25">
      <c r="A102" s="1" t="s">
        <v>99</v>
      </c>
      <c r="B102" s="1" t="s">
        <v>33</v>
      </c>
      <c r="C102" s="1" t="s">
        <v>34</v>
      </c>
      <c r="D102" s="1" t="s">
        <v>12</v>
      </c>
      <c r="E102" s="1">
        <v>20</v>
      </c>
      <c r="F102" s="1">
        <v>30</v>
      </c>
      <c r="G102" s="1">
        <v>22</v>
      </c>
      <c r="H102" s="1">
        <v>76</v>
      </c>
      <c r="I102" s="1">
        <v>26</v>
      </c>
    </row>
    <row r="103" spans="1:9" x14ac:dyDescent="0.25">
      <c r="A103" s="2" t="s">
        <v>99</v>
      </c>
      <c r="B103" s="2" t="s">
        <v>33</v>
      </c>
      <c r="C103" s="2" t="s">
        <v>35</v>
      </c>
      <c r="D103" s="2" t="s">
        <v>12</v>
      </c>
      <c r="E103" s="2">
        <v>48</v>
      </c>
      <c r="F103" s="2">
        <v>78</v>
      </c>
      <c r="G103" s="2">
        <v>58</v>
      </c>
      <c r="H103" s="2">
        <v>94</v>
      </c>
      <c r="I103" s="2">
        <v>88</v>
      </c>
    </row>
    <row r="104" spans="1:9" x14ac:dyDescent="0.25">
      <c r="A104" s="1" t="s">
        <v>99</v>
      </c>
      <c r="B104" s="1" t="s">
        <v>33</v>
      </c>
      <c r="C104" s="1" t="s">
        <v>36</v>
      </c>
      <c r="D104" s="1" t="s">
        <v>12</v>
      </c>
      <c r="E104" s="1">
        <v>57</v>
      </c>
      <c r="F104" s="1">
        <v>20</v>
      </c>
      <c r="G104" s="1">
        <v>92</v>
      </c>
      <c r="H104" s="1">
        <v>53</v>
      </c>
      <c r="I104" s="1">
        <v>19</v>
      </c>
    </row>
    <row r="105" spans="1:9" x14ac:dyDescent="0.25">
      <c r="A105" s="2" t="s">
        <v>99</v>
      </c>
      <c r="B105" s="2" t="s">
        <v>33</v>
      </c>
      <c r="C105" s="2" t="s">
        <v>37</v>
      </c>
      <c r="D105" s="2" t="s">
        <v>12</v>
      </c>
      <c r="E105" s="2">
        <v>20</v>
      </c>
      <c r="F105" s="2">
        <v>86</v>
      </c>
      <c r="G105" s="2">
        <v>17</v>
      </c>
      <c r="H105" s="2">
        <v>23</v>
      </c>
      <c r="I105" s="2">
        <v>31</v>
      </c>
    </row>
    <row r="106" spans="1:9" x14ac:dyDescent="0.25">
      <c r="A106" s="1" t="s">
        <v>99</v>
      </c>
      <c r="B106" s="1" t="s">
        <v>33</v>
      </c>
      <c r="C106" s="1" t="s">
        <v>38</v>
      </c>
      <c r="D106" s="1" t="s">
        <v>12</v>
      </c>
      <c r="E106" s="1">
        <v>75</v>
      </c>
      <c r="F106" s="1">
        <v>10</v>
      </c>
      <c r="G106" s="1">
        <v>44</v>
      </c>
      <c r="H106" s="1">
        <v>85</v>
      </c>
      <c r="I106" s="1">
        <v>83</v>
      </c>
    </row>
    <row r="107" spans="1:9" x14ac:dyDescent="0.25">
      <c r="A107" s="2" t="s">
        <v>99</v>
      </c>
      <c r="B107" s="2" t="s">
        <v>33</v>
      </c>
      <c r="C107" s="2" t="s">
        <v>39</v>
      </c>
      <c r="D107" s="2" t="s">
        <v>12</v>
      </c>
      <c r="E107" s="2">
        <v>85</v>
      </c>
      <c r="F107" s="2">
        <v>71</v>
      </c>
      <c r="G107" s="2">
        <v>15</v>
      </c>
      <c r="H107" s="2">
        <v>84</v>
      </c>
      <c r="I107" s="2">
        <v>93</v>
      </c>
    </row>
    <row r="108" spans="1:9" x14ac:dyDescent="0.25">
      <c r="A108" s="1" t="s">
        <v>99</v>
      </c>
      <c r="B108" s="1" t="s">
        <v>33</v>
      </c>
      <c r="C108" s="1" t="s">
        <v>40</v>
      </c>
      <c r="D108" s="1" t="s">
        <v>12</v>
      </c>
      <c r="E108" s="1">
        <v>27</v>
      </c>
      <c r="F108" s="1">
        <v>12</v>
      </c>
      <c r="G108" s="1">
        <v>38</v>
      </c>
      <c r="H108" s="1">
        <v>52</v>
      </c>
      <c r="I108" s="1">
        <v>11</v>
      </c>
    </row>
    <row r="109" spans="1:9" x14ac:dyDescent="0.25">
      <c r="A109" s="2" t="s">
        <v>99</v>
      </c>
      <c r="B109" s="2" t="s">
        <v>33</v>
      </c>
      <c r="C109" s="2" t="s">
        <v>41</v>
      </c>
      <c r="D109" s="2" t="s">
        <v>12</v>
      </c>
      <c r="E109" s="2">
        <v>100</v>
      </c>
      <c r="F109" s="2">
        <v>33</v>
      </c>
      <c r="G109" s="2">
        <v>87</v>
      </c>
      <c r="H109" s="2">
        <v>19</v>
      </c>
      <c r="I109" s="2">
        <v>66</v>
      </c>
    </row>
    <row r="110" spans="1:9" x14ac:dyDescent="0.25">
      <c r="A110" s="1" t="s">
        <v>99</v>
      </c>
      <c r="B110" s="1" t="s">
        <v>33</v>
      </c>
      <c r="C110" s="1" t="s">
        <v>42</v>
      </c>
      <c r="D110" s="1" t="s">
        <v>12</v>
      </c>
      <c r="E110" s="1">
        <v>43</v>
      </c>
      <c r="F110" s="1">
        <v>27</v>
      </c>
      <c r="G110" s="1">
        <v>40</v>
      </c>
      <c r="H110" s="1">
        <v>95</v>
      </c>
      <c r="I110" s="1">
        <v>86</v>
      </c>
    </row>
    <row r="111" spans="1:9" x14ac:dyDescent="0.25">
      <c r="A111" s="2" t="s">
        <v>99</v>
      </c>
      <c r="B111" s="2" t="s">
        <v>33</v>
      </c>
      <c r="C111" s="2" t="s">
        <v>43</v>
      </c>
      <c r="D111" s="2" t="s">
        <v>12</v>
      </c>
      <c r="E111" s="2">
        <v>80</v>
      </c>
      <c r="F111" s="2">
        <v>48</v>
      </c>
      <c r="G111" s="2">
        <v>55</v>
      </c>
      <c r="H111" s="2">
        <v>100</v>
      </c>
      <c r="I111" s="2">
        <v>71</v>
      </c>
    </row>
    <row r="112" spans="1:9" x14ac:dyDescent="0.25">
      <c r="A112" s="1" t="s">
        <v>99</v>
      </c>
      <c r="B112" s="1" t="s">
        <v>44</v>
      </c>
      <c r="C112" s="1" t="s">
        <v>45</v>
      </c>
      <c r="D112" s="1" t="s">
        <v>12</v>
      </c>
      <c r="E112" s="1">
        <v>44</v>
      </c>
      <c r="F112" s="1">
        <v>69</v>
      </c>
      <c r="G112" s="1">
        <v>16</v>
      </c>
      <c r="H112" s="1">
        <v>18</v>
      </c>
      <c r="I112" s="1">
        <v>90</v>
      </c>
    </row>
    <row r="113" spans="1:9" x14ac:dyDescent="0.25">
      <c r="A113" s="2" t="s">
        <v>99</v>
      </c>
      <c r="B113" s="2" t="s">
        <v>44</v>
      </c>
      <c r="C113" s="2" t="s">
        <v>46</v>
      </c>
      <c r="D113" s="2" t="s">
        <v>12</v>
      </c>
      <c r="E113" s="2">
        <v>40</v>
      </c>
      <c r="F113" s="2">
        <v>38</v>
      </c>
      <c r="G113" s="2">
        <v>14</v>
      </c>
      <c r="H113" s="2">
        <v>65</v>
      </c>
      <c r="I113" s="2">
        <v>69</v>
      </c>
    </row>
    <row r="114" spans="1:9" x14ac:dyDescent="0.25">
      <c r="A114" s="1" t="s">
        <v>99</v>
      </c>
      <c r="B114" s="1" t="s">
        <v>44</v>
      </c>
      <c r="C114" s="1" t="s">
        <v>47</v>
      </c>
      <c r="D114" s="1" t="s">
        <v>12</v>
      </c>
      <c r="E114" s="1">
        <v>60</v>
      </c>
      <c r="F114" s="1">
        <v>89</v>
      </c>
      <c r="G114" s="1">
        <v>46</v>
      </c>
      <c r="H114" s="1">
        <v>78</v>
      </c>
      <c r="I114" s="1">
        <v>11</v>
      </c>
    </row>
    <row r="115" spans="1:9" x14ac:dyDescent="0.25">
      <c r="A115" s="2" t="s">
        <v>99</v>
      </c>
      <c r="B115" s="2" t="s">
        <v>44</v>
      </c>
      <c r="C115" s="2" t="s">
        <v>48</v>
      </c>
      <c r="D115" s="2" t="s">
        <v>12</v>
      </c>
      <c r="E115" s="2">
        <v>97</v>
      </c>
      <c r="F115" s="2">
        <v>20</v>
      </c>
      <c r="G115" s="2">
        <v>30</v>
      </c>
      <c r="H115" s="2">
        <v>55</v>
      </c>
      <c r="I115" s="2">
        <v>56</v>
      </c>
    </row>
    <row r="116" spans="1:9" x14ac:dyDescent="0.25">
      <c r="A116" s="1" t="s">
        <v>99</v>
      </c>
      <c r="B116" s="1" t="s">
        <v>44</v>
      </c>
      <c r="C116" s="1" t="s">
        <v>49</v>
      </c>
      <c r="D116" s="1" t="s">
        <v>12</v>
      </c>
      <c r="E116" s="1">
        <v>16</v>
      </c>
      <c r="F116" s="1">
        <v>99</v>
      </c>
      <c r="G116" s="1">
        <v>44</v>
      </c>
      <c r="H116" s="1">
        <v>46</v>
      </c>
      <c r="I116" s="1">
        <v>59</v>
      </c>
    </row>
    <row r="117" spans="1:9" x14ac:dyDescent="0.25">
      <c r="A117" s="2" t="s">
        <v>99</v>
      </c>
      <c r="B117" s="2" t="s">
        <v>44</v>
      </c>
      <c r="C117" s="2" t="s">
        <v>50</v>
      </c>
      <c r="D117" s="2" t="s">
        <v>12</v>
      </c>
      <c r="E117" s="2">
        <v>55</v>
      </c>
      <c r="F117" s="2">
        <v>88</v>
      </c>
      <c r="G117" s="2">
        <v>66</v>
      </c>
      <c r="H117" s="2">
        <v>37</v>
      </c>
      <c r="I117" s="2">
        <v>66</v>
      </c>
    </row>
    <row r="118" spans="1:9" x14ac:dyDescent="0.25">
      <c r="A118" s="1" t="s">
        <v>99</v>
      </c>
      <c r="B118" s="1" t="s">
        <v>44</v>
      </c>
      <c r="C118" s="1" t="s">
        <v>51</v>
      </c>
      <c r="D118" s="1" t="s">
        <v>12</v>
      </c>
      <c r="E118" s="1">
        <v>20</v>
      </c>
      <c r="F118" s="1">
        <v>71</v>
      </c>
      <c r="G118" s="1">
        <v>10</v>
      </c>
      <c r="H118" s="1">
        <v>21</v>
      </c>
      <c r="I118" s="1">
        <v>44</v>
      </c>
    </row>
    <row r="119" spans="1:9" x14ac:dyDescent="0.25">
      <c r="A119" s="2" t="s">
        <v>99</v>
      </c>
      <c r="B119" s="2" t="s">
        <v>44</v>
      </c>
      <c r="C119" s="2" t="s">
        <v>52</v>
      </c>
      <c r="D119" s="2" t="s">
        <v>12</v>
      </c>
      <c r="E119" s="2">
        <v>47</v>
      </c>
      <c r="F119" s="2">
        <v>57</v>
      </c>
      <c r="G119" s="2">
        <v>43</v>
      </c>
      <c r="H119" s="2">
        <v>98</v>
      </c>
      <c r="I119" s="2">
        <v>51</v>
      </c>
    </row>
    <row r="120" spans="1:9" x14ac:dyDescent="0.25">
      <c r="A120" s="1" t="s">
        <v>99</v>
      </c>
      <c r="B120" s="1" t="s">
        <v>44</v>
      </c>
      <c r="C120" s="1" t="s">
        <v>53</v>
      </c>
      <c r="D120" s="1" t="s">
        <v>12</v>
      </c>
      <c r="E120" s="1">
        <v>42</v>
      </c>
      <c r="F120" s="1">
        <v>22</v>
      </c>
      <c r="G120" s="1">
        <v>95</v>
      </c>
      <c r="H120" s="1">
        <v>53</v>
      </c>
      <c r="I120" s="1">
        <v>83</v>
      </c>
    </row>
    <row r="121" spans="1:9" x14ac:dyDescent="0.25">
      <c r="A121" s="2" t="s">
        <v>99</v>
      </c>
      <c r="B121" s="2" t="s">
        <v>44</v>
      </c>
      <c r="C121" s="2" t="s">
        <v>54</v>
      </c>
      <c r="D121" s="2" t="s">
        <v>12</v>
      </c>
      <c r="E121" s="2">
        <v>20</v>
      </c>
      <c r="F121" s="2">
        <v>96</v>
      </c>
      <c r="G121" s="2">
        <v>10</v>
      </c>
      <c r="H121" s="2">
        <v>51</v>
      </c>
      <c r="I121" s="2">
        <v>61</v>
      </c>
    </row>
    <row r="122" spans="1:9" x14ac:dyDescent="0.25">
      <c r="A122" s="1" t="s">
        <v>99</v>
      </c>
      <c r="B122" s="1" t="s">
        <v>55</v>
      </c>
      <c r="C122" s="1" t="s">
        <v>56</v>
      </c>
      <c r="D122" s="1" t="s">
        <v>12</v>
      </c>
      <c r="E122" s="1">
        <v>22</v>
      </c>
      <c r="F122" s="1">
        <v>32</v>
      </c>
      <c r="G122" s="1">
        <v>28</v>
      </c>
      <c r="H122" s="1">
        <v>44</v>
      </c>
      <c r="I122" s="1">
        <v>20</v>
      </c>
    </row>
    <row r="123" spans="1:9" x14ac:dyDescent="0.25">
      <c r="A123" s="2" t="s">
        <v>99</v>
      </c>
      <c r="B123" s="2" t="s">
        <v>55</v>
      </c>
      <c r="C123" s="2" t="s">
        <v>57</v>
      </c>
      <c r="D123" s="2" t="s">
        <v>12</v>
      </c>
      <c r="E123" s="2">
        <v>51</v>
      </c>
      <c r="F123" s="2">
        <v>64</v>
      </c>
      <c r="G123" s="2">
        <v>26</v>
      </c>
      <c r="H123" s="2">
        <v>10</v>
      </c>
      <c r="I123" s="2">
        <v>56</v>
      </c>
    </row>
    <row r="124" spans="1:9" x14ac:dyDescent="0.25">
      <c r="A124" s="1" t="s">
        <v>99</v>
      </c>
      <c r="B124" s="1" t="s">
        <v>55</v>
      </c>
      <c r="C124" s="1" t="s">
        <v>58</v>
      </c>
      <c r="D124" s="1" t="s">
        <v>12</v>
      </c>
      <c r="E124" s="1">
        <v>16</v>
      </c>
      <c r="F124" s="1">
        <v>37</v>
      </c>
      <c r="G124" s="1">
        <v>68</v>
      </c>
      <c r="H124" s="1">
        <v>28</v>
      </c>
      <c r="I124" s="1">
        <v>58</v>
      </c>
    </row>
    <row r="125" spans="1:9" x14ac:dyDescent="0.25">
      <c r="A125" s="2" t="s">
        <v>99</v>
      </c>
      <c r="B125" s="2" t="s">
        <v>55</v>
      </c>
      <c r="C125" s="2" t="s">
        <v>59</v>
      </c>
      <c r="D125" s="2" t="s">
        <v>12</v>
      </c>
      <c r="E125" s="2">
        <v>11</v>
      </c>
      <c r="F125" s="2">
        <v>92</v>
      </c>
      <c r="G125" s="2">
        <v>59</v>
      </c>
      <c r="H125" s="2">
        <v>53</v>
      </c>
      <c r="I125" s="2">
        <v>12</v>
      </c>
    </row>
    <row r="126" spans="1:9" x14ac:dyDescent="0.25">
      <c r="A126" s="1" t="s">
        <v>99</v>
      </c>
      <c r="B126" s="1" t="s">
        <v>55</v>
      </c>
      <c r="C126" s="1" t="s">
        <v>60</v>
      </c>
      <c r="D126" s="1" t="s">
        <v>12</v>
      </c>
      <c r="E126" s="1">
        <v>54</v>
      </c>
      <c r="F126" s="1">
        <v>86</v>
      </c>
      <c r="G126" s="1">
        <v>33</v>
      </c>
      <c r="H126" s="1">
        <v>58</v>
      </c>
      <c r="I126" s="1">
        <v>93</v>
      </c>
    </row>
    <row r="127" spans="1:9" x14ac:dyDescent="0.25">
      <c r="A127" s="2" t="s">
        <v>99</v>
      </c>
      <c r="B127" s="2" t="s">
        <v>55</v>
      </c>
      <c r="C127" s="2" t="s">
        <v>61</v>
      </c>
      <c r="D127" s="2" t="s">
        <v>12</v>
      </c>
      <c r="E127" s="2">
        <v>16</v>
      </c>
      <c r="F127" s="2">
        <v>45</v>
      </c>
      <c r="G127" s="2">
        <v>26</v>
      </c>
      <c r="H127" s="2">
        <v>38</v>
      </c>
      <c r="I127" s="2">
        <v>15</v>
      </c>
    </row>
    <row r="128" spans="1:9" x14ac:dyDescent="0.25">
      <c r="A128" s="1" t="s">
        <v>99</v>
      </c>
      <c r="B128" s="1" t="s">
        <v>55</v>
      </c>
      <c r="C128" s="1" t="s">
        <v>62</v>
      </c>
      <c r="D128" s="1" t="s">
        <v>12</v>
      </c>
      <c r="E128" s="1">
        <v>85</v>
      </c>
      <c r="F128" s="1">
        <v>60</v>
      </c>
      <c r="G128" s="1">
        <v>44</v>
      </c>
      <c r="H128" s="1">
        <v>44</v>
      </c>
      <c r="I128" s="1">
        <v>85</v>
      </c>
    </row>
    <row r="129" spans="1:9" x14ac:dyDescent="0.25">
      <c r="A129" s="2" t="s">
        <v>99</v>
      </c>
      <c r="B129" s="2" t="s">
        <v>55</v>
      </c>
      <c r="C129" s="2" t="s">
        <v>63</v>
      </c>
      <c r="D129" s="2" t="s">
        <v>12</v>
      </c>
      <c r="E129" s="2">
        <v>66</v>
      </c>
      <c r="F129" s="2">
        <v>88</v>
      </c>
      <c r="G129" s="2">
        <v>31</v>
      </c>
      <c r="H129" s="2">
        <v>36</v>
      </c>
      <c r="I129" s="2">
        <v>68</v>
      </c>
    </row>
    <row r="130" spans="1:9" x14ac:dyDescent="0.25">
      <c r="A130" s="1" t="s">
        <v>99</v>
      </c>
      <c r="B130" s="1" t="s">
        <v>55</v>
      </c>
      <c r="C130" s="1" t="s">
        <v>64</v>
      </c>
      <c r="D130" s="1" t="s">
        <v>12</v>
      </c>
      <c r="E130" s="1">
        <v>33</v>
      </c>
      <c r="F130" s="1">
        <v>44</v>
      </c>
      <c r="G130" s="1">
        <v>60</v>
      </c>
      <c r="H130" s="1">
        <v>96</v>
      </c>
      <c r="I130" s="1">
        <v>74</v>
      </c>
    </row>
    <row r="131" spans="1:9" x14ac:dyDescent="0.25">
      <c r="A131" s="2" t="s">
        <v>99</v>
      </c>
      <c r="B131" s="2" t="s">
        <v>55</v>
      </c>
      <c r="C131" s="2" t="s">
        <v>65</v>
      </c>
      <c r="D131" s="2" t="s">
        <v>12</v>
      </c>
      <c r="E131" s="2">
        <v>33</v>
      </c>
      <c r="F131" s="2">
        <v>32</v>
      </c>
      <c r="G131" s="2">
        <v>10</v>
      </c>
      <c r="H131" s="2">
        <v>14</v>
      </c>
      <c r="I131" s="2">
        <v>56</v>
      </c>
    </row>
    <row r="132" spans="1:9" x14ac:dyDescent="0.25">
      <c r="A132" s="1" t="s">
        <v>99</v>
      </c>
      <c r="B132" s="1" t="s">
        <v>66</v>
      </c>
      <c r="C132" s="1" t="s">
        <v>67</v>
      </c>
      <c r="D132" s="1" t="s">
        <v>12</v>
      </c>
      <c r="E132" s="1">
        <v>76</v>
      </c>
      <c r="F132" s="1">
        <v>96</v>
      </c>
      <c r="G132" s="1">
        <v>38</v>
      </c>
      <c r="H132" s="1">
        <v>72</v>
      </c>
      <c r="I132" s="1">
        <v>93</v>
      </c>
    </row>
    <row r="133" spans="1:9" x14ac:dyDescent="0.25">
      <c r="A133" s="2" t="s">
        <v>99</v>
      </c>
      <c r="B133" s="2" t="s">
        <v>66</v>
      </c>
      <c r="C133" s="2" t="s">
        <v>68</v>
      </c>
      <c r="D133" s="2" t="s">
        <v>12</v>
      </c>
      <c r="E133" s="2">
        <v>98</v>
      </c>
      <c r="F133" s="2">
        <v>42</v>
      </c>
      <c r="G133" s="2">
        <v>80</v>
      </c>
      <c r="H133" s="2">
        <v>41</v>
      </c>
      <c r="I133" s="2">
        <v>38</v>
      </c>
    </row>
    <row r="134" spans="1:9" x14ac:dyDescent="0.25">
      <c r="A134" s="1" t="s">
        <v>99</v>
      </c>
      <c r="B134" s="1" t="s">
        <v>66</v>
      </c>
      <c r="C134" s="1" t="s">
        <v>69</v>
      </c>
      <c r="D134" s="1" t="s">
        <v>12</v>
      </c>
      <c r="E134" s="1">
        <v>78</v>
      </c>
      <c r="F134" s="1">
        <v>35</v>
      </c>
      <c r="G134" s="1">
        <v>17</v>
      </c>
      <c r="H134" s="1">
        <v>95</v>
      </c>
      <c r="I134" s="1">
        <v>69</v>
      </c>
    </row>
    <row r="135" spans="1:9" x14ac:dyDescent="0.25">
      <c r="A135" s="2" t="s">
        <v>99</v>
      </c>
      <c r="B135" s="2" t="s">
        <v>66</v>
      </c>
      <c r="C135" s="2" t="s">
        <v>70</v>
      </c>
      <c r="D135" s="2" t="s">
        <v>12</v>
      </c>
      <c r="E135" s="2">
        <v>48</v>
      </c>
      <c r="F135" s="2">
        <v>11</v>
      </c>
      <c r="G135" s="2">
        <v>53</v>
      </c>
      <c r="H135" s="2">
        <v>91</v>
      </c>
      <c r="I135" s="2">
        <v>99</v>
      </c>
    </row>
    <row r="136" spans="1:9" x14ac:dyDescent="0.25">
      <c r="A136" s="1" t="s">
        <v>99</v>
      </c>
      <c r="B136" s="1" t="s">
        <v>66</v>
      </c>
      <c r="C136" s="1" t="s">
        <v>71</v>
      </c>
      <c r="D136" s="1" t="s">
        <v>12</v>
      </c>
      <c r="E136" s="1">
        <v>35</v>
      </c>
      <c r="F136" s="1">
        <v>29</v>
      </c>
      <c r="G136" s="1">
        <v>84</v>
      </c>
      <c r="H136" s="1">
        <v>56</v>
      </c>
      <c r="I136" s="1">
        <v>40</v>
      </c>
    </row>
    <row r="137" spans="1:9" x14ac:dyDescent="0.25">
      <c r="A137" s="2" t="s">
        <v>99</v>
      </c>
      <c r="B137" s="2" t="s">
        <v>66</v>
      </c>
      <c r="C137" s="2" t="s">
        <v>72</v>
      </c>
      <c r="D137" s="2" t="s">
        <v>12</v>
      </c>
      <c r="E137" s="2">
        <v>26</v>
      </c>
      <c r="F137" s="2">
        <v>68</v>
      </c>
      <c r="G137" s="2">
        <v>25</v>
      </c>
      <c r="H137" s="2">
        <v>51</v>
      </c>
      <c r="I137" s="2">
        <v>16</v>
      </c>
    </row>
    <row r="138" spans="1:9" x14ac:dyDescent="0.25">
      <c r="A138" s="1" t="s">
        <v>99</v>
      </c>
      <c r="B138" s="1" t="s">
        <v>66</v>
      </c>
      <c r="C138" s="1" t="s">
        <v>73</v>
      </c>
      <c r="D138" s="1" t="s">
        <v>12</v>
      </c>
      <c r="E138" s="1">
        <v>88</v>
      </c>
      <c r="F138" s="1">
        <v>48</v>
      </c>
      <c r="G138" s="1">
        <v>93</v>
      </c>
      <c r="H138" s="1">
        <v>18</v>
      </c>
      <c r="I138" s="1">
        <v>52</v>
      </c>
    </row>
    <row r="139" spans="1:9" x14ac:dyDescent="0.25">
      <c r="A139" s="2" t="s">
        <v>99</v>
      </c>
      <c r="B139" s="2" t="s">
        <v>66</v>
      </c>
      <c r="C139" s="2" t="s">
        <v>74</v>
      </c>
      <c r="D139" s="2" t="s">
        <v>12</v>
      </c>
      <c r="E139" s="2">
        <v>39</v>
      </c>
      <c r="F139" s="2">
        <v>94</v>
      </c>
      <c r="G139" s="2">
        <v>38</v>
      </c>
      <c r="H139" s="2">
        <v>17</v>
      </c>
      <c r="I139" s="2">
        <v>55</v>
      </c>
    </row>
    <row r="140" spans="1:9" x14ac:dyDescent="0.25">
      <c r="A140" s="1" t="s">
        <v>99</v>
      </c>
      <c r="B140" s="1" t="s">
        <v>66</v>
      </c>
      <c r="C140" s="1" t="s">
        <v>75</v>
      </c>
      <c r="D140" s="1" t="s">
        <v>12</v>
      </c>
      <c r="E140" s="1">
        <v>79</v>
      </c>
      <c r="F140" s="1">
        <v>44</v>
      </c>
      <c r="G140" s="1">
        <v>44</v>
      </c>
      <c r="H140" s="1">
        <v>22</v>
      </c>
      <c r="I140" s="1">
        <v>26</v>
      </c>
    </row>
    <row r="141" spans="1:9" x14ac:dyDescent="0.25">
      <c r="A141" s="2" t="s">
        <v>99</v>
      </c>
      <c r="B141" s="2" t="s">
        <v>66</v>
      </c>
      <c r="C141" s="2" t="s">
        <v>76</v>
      </c>
      <c r="D141" s="2" t="s">
        <v>12</v>
      </c>
      <c r="E141" s="2">
        <v>96</v>
      </c>
      <c r="F141" s="2">
        <v>73</v>
      </c>
      <c r="G141" s="2">
        <v>90</v>
      </c>
      <c r="H141" s="2">
        <v>45</v>
      </c>
      <c r="I141" s="2">
        <v>60</v>
      </c>
    </row>
    <row r="142" spans="1:9" x14ac:dyDescent="0.25">
      <c r="A142" s="1" t="s">
        <v>99</v>
      </c>
      <c r="B142" s="1" t="s">
        <v>77</v>
      </c>
      <c r="C142" s="1" t="s">
        <v>78</v>
      </c>
      <c r="D142" s="1" t="s">
        <v>12</v>
      </c>
      <c r="E142" s="1">
        <v>62</v>
      </c>
      <c r="F142" s="1">
        <v>91</v>
      </c>
      <c r="G142" s="1">
        <v>46</v>
      </c>
      <c r="H142" s="1">
        <v>79</v>
      </c>
      <c r="I142" s="1">
        <v>82</v>
      </c>
    </row>
    <row r="143" spans="1:9" x14ac:dyDescent="0.25">
      <c r="A143" s="2" t="s">
        <v>99</v>
      </c>
      <c r="B143" s="2" t="s">
        <v>77</v>
      </c>
      <c r="C143" s="2" t="s">
        <v>79</v>
      </c>
      <c r="D143" s="2" t="s">
        <v>12</v>
      </c>
      <c r="E143" s="2">
        <v>82</v>
      </c>
      <c r="F143" s="2">
        <v>37</v>
      </c>
      <c r="G143" s="2">
        <v>60</v>
      </c>
      <c r="H143" s="2">
        <v>90</v>
      </c>
      <c r="I143" s="2">
        <v>73</v>
      </c>
    </row>
    <row r="144" spans="1:9" x14ac:dyDescent="0.25">
      <c r="A144" s="1" t="s">
        <v>99</v>
      </c>
      <c r="B144" s="1" t="s">
        <v>77</v>
      </c>
      <c r="C144" s="1" t="s">
        <v>80</v>
      </c>
      <c r="D144" s="1" t="s">
        <v>12</v>
      </c>
      <c r="E144" s="1">
        <v>42</v>
      </c>
      <c r="F144" s="1">
        <v>21</v>
      </c>
      <c r="G144" s="1">
        <v>91</v>
      </c>
      <c r="H144" s="1">
        <v>37</v>
      </c>
      <c r="I144" s="1">
        <v>30</v>
      </c>
    </row>
    <row r="145" spans="1:9" x14ac:dyDescent="0.25">
      <c r="A145" s="2" t="s">
        <v>99</v>
      </c>
      <c r="B145" s="2" t="s">
        <v>77</v>
      </c>
      <c r="C145" s="2" t="s">
        <v>81</v>
      </c>
      <c r="D145" s="2" t="s">
        <v>12</v>
      </c>
      <c r="E145" s="2">
        <v>84</v>
      </c>
      <c r="F145" s="2">
        <v>55</v>
      </c>
      <c r="G145" s="2">
        <v>70</v>
      </c>
      <c r="H145" s="2">
        <v>86</v>
      </c>
      <c r="I145" s="2">
        <v>57</v>
      </c>
    </row>
    <row r="146" spans="1:9" x14ac:dyDescent="0.25">
      <c r="A146" s="1" t="s">
        <v>99</v>
      </c>
      <c r="B146" s="1" t="s">
        <v>77</v>
      </c>
      <c r="C146" s="1" t="s">
        <v>82</v>
      </c>
      <c r="D146" s="1" t="s">
        <v>12</v>
      </c>
      <c r="E146" s="1">
        <v>34</v>
      </c>
      <c r="F146" s="1">
        <v>68</v>
      </c>
      <c r="G146" s="1">
        <v>64</v>
      </c>
      <c r="H146" s="1">
        <v>76</v>
      </c>
      <c r="I146" s="1">
        <v>23</v>
      </c>
    </row>
    <row r="147" spans="1:9" x14ac:dyDescent="0.25">
      <c r="A147" s="2" t="s">
        <v>99</v>
      </c>
      <c r="B147" s="2" t="s">
        <v>77</v>
      </c>
      <c r="C147" s="2" t="s">
        <v>83</v>
      </c>
      <c r="D147" s="2" t="s">
        <v>12</v>
      </c>
      <c r="E147" s="2">
        <v>29</v>
      </c>
      <c r="F147" s="2">
        <v>58</v>
      </c>
      <c r="G147" s="2">
        <v>87</v>
      </c>
      <c r="H147" s="2">
        <v>15</v>
      </c>
      <c r="I147" s="2">
        <v>29</v>
      </c>
    </row>
    <row r="148" spans="1:9" x14ac:dyDescent="0.25">
      <c r="A148" s="1" t="s">
        <v>99</v>
      </c>
      <c r="B148" s="1" t="s">
        <v>77</v>
      </c>
      <c r="C148" s="1" t="s">
        <v>84</v>
      </c>
      <c r="D148" s="1" t="s">
        <v>12</v>
      </c>
      <c r="E148" s="1">
        <v>31</v>
      </c>
      <c r="F148" s="1">
        <v>43</v>
      </c>
      <c r="G148" s="1">
        <v>58</v>
      </c>
      <c r="H148" s="1">
        <v>10</v>
      </c>
      <c r="I148" s="1">
        <v>29</v>
      </c>
    </row>
    <row r="149" spans="1:9" x14ac:dyDescent="0.25">
      <c r="A149" s="2" t="s">
        <v>99</v>
      </c>
      <c r="B149" s="2" t="s">
        <v>77</v>
      </c>
      <c r="C149" s="2" t="s">
        <v>85</v>
      </c>
      <c r="D149" s="2" t="s">
        <v>12</v>
      </c>
      <c r="E149" s="2">
        <v>94</v>
      </c>
      <c r="F149" s="2">
        <v>79</v>
      </c>
      <c r="G149" s="2">
        <v>77</v>
      </c>
      <c r="H149" s="2">
        <v>35</v>
      </c>
      <c r="I149" s="2">
        <v>37</v>
      </c>
    </row>
    <row r="150" spans="1:9" x14ac:dyDescent="0.25">
      <c r="A150" s="1" t="s">
        <v>99</v>
      </c>
      <c r="B150" s="1" t="s">
        <v>77</v>
      </c>
      <c r="C150" s="1" t="s">
        <v>86</v>
      </c>
      <c r="D150" s="1" t="s">
        <v>12</v>
      </c>
      <c r="E150" s="1">
        <v>42</v>
      </c>
      <c r="F150" s="1">
        <v>82</v>
      </c>
      <c r="G150" s="1">
        <v>76</v>
      </c>
      <c r="H150" s="1">
        <v>44</v>
      </c>
      <c r="I150" s="1">
        <v>10</v>
      </c>
    </row>
    <row r="151" spans="1:9" x14ac:dyDescent="0.25">
      <c r="A151" s="2" t="s">
        <v>99</v>
      </c>
      <c r="B151" s="2" t="s">
        <v>77</v>
      </c>
      <c r="C151" s="2" t="s">
        <v>87</v>
      </c>
      <c r="D151" s="2" t="s">
        <v>12</v>
      </c>
      <c r="E151" s="2">
        <v>22</v>
      </c>
      <c r="F151" s="2">
        <v>64</v>
      </c>
      <c r="G151" s="2">
        <v>80</v>
      </c>
      <c r="H151" s="2">
        <v>22</v>
      </c>
      <c r="I151" s="2">
        <v>99</v>
      </c>
    </row>
    <row r="152" spans="1:9" x14ac:dyDescent="0.25">
      <c r="A152" s="1" t="s">
        <v>99</v>
      </c>
      <c r="B152" s="1" t="s">
        <v>88</v>
      </c>
      <c r="C152" s="1" t="s">
        <v>89</v>
      </c>
      <c r="D152" s="1" t="s">
        <v>12</v>
      </c>
      <c r="E152" s="1">
        <v>31</v>
      </c>
      <c r="F152" s="1">
        <v>93</v>
      </c>
      <c r="G152" s="1">
        <v>91</v>
      </c>
      <c r="H152" s="1">
        <v>47</v>
      </c>
      <c r="I152" s="1">
        <v>44</v>
      </c>
    </row>
    <row r="153" spans="1:9" x14ac:dyDescent="0.25">
      <c r="A153" s="2" t="s">
        <v>99</v>
      </c>
      <c r="B153" s="2" t="s">
        <v>88</v>
      </c>
      <c r="C153" s="2" t="s">
        <v>90</v>
      </c>
      <c r="D153" s="2" t="s">
        <v>12</v>
      </c>
      <c r="E153" s="2">
        <v>42</v>
      </c>
      <c r="F153" s="2">
        <v>24</v>
      </c>
      <c r="G153" s="2">
        <v>82</v>
      </c>
      <c r="H153" s="2">
        <v>56</v>
      </c>
      <c r="I153" s="2">
        <v>36</v>
      </c>
    </row>
    <row r="154" spans="1:9" x14ac:dyDescent="0.25">
      <c r="A154" s="1" t="s">
        <v>99</v>
      </c>
      <c r="B154" s="1" t="s">
        <v>88</v>
      </c>
      <c r="C154" s="1" t="s">
        <v>91</v>
      </c>
      <c r="D154" s="1" t="s">
        <v>12</v>
      </c>
      <c r="E154" s="1">
        <v>41</v>
      </c>
      <c r="F154" s="1">
        <v>16</v>
      </c>
      <c r="G154" s="1">
        <v>40</v>
      </c>
      <c r="H154" s="1">
        <v>88</v>
      </c>
      <c r="I154" s="1">
        <v>95</v>
      </c>
    </row>
    <row r="155" spans="1:9" x14ac:dyDescent="0.25">
      <c r="A155" s="2" t="s">
        <v>99</v>
      </c>
      <c r="B155" s="2" t="s">
        <v>88</v>
      </c>
      <c r="C155" s="2" t="s">
        <v>92</v>
      </c>
      <c r="D155" s="2" t="s">
        <v>12</v>
      </c>
      <c r="E155" s="2">
        <v>45</v>
      </c>
      <c r="F155" s="2">
        <v>81</v>
      </c>
      <c r="G155" s="2">
        <v>58</v>
      </c>
      <c r="H155" s="2">
        <v>26</v>
      </c>
      <c r="I155" s="2">
        <v>97</v>
      </c>
    </row>
    <row r="156" spans="1:9" x14ac:dyDescent="0.25">
      <c r="A156" s="1" t="s">
        <v>99</v>
      </c>
      <c r="B156" s="1" t="s">
        <v>88</v>
      </c>
      <c r="C156" s="1" t="s">
        <v>93</v>
      </c>
      <c r="D156" s="1" t="s">
        <v>12</v>
      </c>
      <c r="E156" s="1">
        <v>64</v>
      </c>
      <c r="F156" s="1">
        <v>91</v>
      </c>
      <c r="G156" s="1">
        <v>35</v>
      </c>
      <c r="H156" s="1">
        <v>58</v>
      </c>
      <c r="I156" s="1">
        <v>14</v>
      </c>
    </row>
    <row r="157" spans="1:9" x14ac:dyDescent="0.25">
      <c r="A157" s="2" t="s">
        <v>99</v>
      </c>
      <c r="B157" s="2" t="s">
        <v>88</v>
      </c>
      <c r="C157" s="2" t="s">
        <v>94</v>
      </c>
      <c r="D157" s="2" t="s">
        <v>12</v>
      </c>
      <c r="E157" s="2">
        <v>94</v>
      </c>
      <c r="F157" s="2">
        <v>61</v>
      </c>
      <c r="G157" s="2">
        <v>49</v>
      </c>
      <c r="H157" s="2">
        <v>29</v>
      </c>
      <c r="I157" s="2">
        <v>99</v>
      </c>
    </row>
    <row r="158" spans="1:9" x14ac:dyDescent="0.25">
      <c r="A158" s="1" t="s">
        <v>99</v>
      </c>
      <c r="B158" s="1" t="s">
        <v>88</v>
      </c>
      <c r="C158" s="1" t="s">
        <v>95</v>
      </c>
      <c r="D158" s="1" t="s">
        <v>12</v>
      </c>
      <c r="E158" s="1">
        <v>21</v>
      </c>
      <c r="F158" s="1">
        <v>66</v>
      </c>
      <c r="G158" s="1">
        <v>89</v>
      </c>
      <c r="H158" s="1">
        <v>98</v>
      </c>
      <c r="I158" s="1">
        <v>63</v>
      </c>
    </row>
    <row r="159" spans="1:9" x14ac:dyDescent="0.25">
      <c r="A159" s="2" t="s">
        <v>99</v>
      </c>
      <c r="B159" s="2" t="s">
        <v>88</v>
      </c>
      <c r="C159" s="2" t="s">
        <v>96</v>
      </c>
      <c r="D159" s="2" t="s">
        <v>12</v>
      </c>
      <c r="E159" s="2">
        <v>24</v>
      </c>
      <c r="F159" s="2">
        <v>27</v>
      </c>
      <c r="G159" s="2">
        <v>22</v>
      </c>
      <c r="H159" s="2">
        <v>24</v>
      </c>
      <c r="I159" s="2">
        <v>74</v>
      </c>
    </row>
    <row r="160" spans="1:9" x14ac:dyDescent="0.25">
      <c r="A160" s="1" t="s">
        <v>99</v>
      </c>
      <c r="B160" s="1" t="s">
        <v>88</v>
      </c>
      <c r="C160" s="1" t="s">
        <v>97</v>
      </c>
      <c r="D160" s="1" t="s">
        <v>12</v>
      </c>
      <c r="E160" s="1">
        <v>36</v>
      </c>
      <c r="F160" s="1">
        <v>56</v>
      </c>
      <c r="G160" s="1">
        <v>94</v>
      </c>
      <c r="H160" s="1">
        <v>74</v>
      </c>
      <c r="I160" s="1">
        <v>21</v>
      </c>
    </row>
    <row r="161" spans="1:9" x14ac:dyDescent="0.25">
      <c r="A161" s="2" t="s">
        <v>99</v>
      </c>
      <c r="B161" s="2" t="s">
        <v>88</v>
      </c>
      <c r="C161" s="2" t="s">
        <v>98</v>
      </c>
      <c r="D161" s="2" t="s">
        <v>12</v>
      </c>
      <c r="E161" s="2">
        <v>14</v>
      </c>
      <c r="F161" s="2">
        <v>16</v>
      </c>
      <c r="G161" s="2">
        <v>37</v>
      </c>
      <c r="H161" s="2">
        <v>81</v>
      </c>
      <c r="I161" s="2">
        <v>92</v>
      </c>
    </row>
    <row r="162" spans="1:9" x14ac:dyDescent="0.25">
      <c r="A162" s="1" t="s">
        <v>100</v>
      </c>
      <c r="B162" s="1" t="s">
        <v>10</v>
      </c>
      <c r="C162" s="1" t="s">
        <v>11</v>
      </c>
      <c r="D162" s="1" t="s">
        <v>12</v>
      </c>
      <c r="E162" s="1">
        <v>13</v>
      </c>
      <c r="F162" s="1">
        <v>50</v>
      </c>
      <c r="G162" s="1">
        <v>45</v>
      </c>
      <c r="H162" s="1">
        <v>56</v>
      </c>
      <c r="I162" s="1">
        <v>87</v>
      </c>
    </row>
    <row r="163" spans="1:9" x14ac:dyDescent="0.25">
      <c r="A163" s="2" t="s">
        <v>100</v>
      </c>
      <c r="B163" s="2" t="s">
        <v>10</v>
      </c>
      <c r="C163" s="2" t="s">
        <v>13</v>
      </c>
      <c r="D163" s="2" t="s">
        <v>12</v>
      </c>
      <c r="E163" s="2">
        <v>99</v>
      </c>
      <c r="F163" s="2">
        <v>13</v>
      </c>
      <c r="G163" s="2">
        <v>48</v>
      </c>
      <c r="H163" s="2">
        <v>21</v>
      </c>
      <c r="I163" s="2">
        <v>70</v>
      </c>
    </row>
    <row r="164" spans="1:9" x14ac:dyDescent="0.25">
      <c r="A164" s="1" t="s">
        <v>100</v>
      </c>
      <c r="B164" s="1" t="s">
        <v>10</v>
      </c>
      <c r="C164" s="1" t="s">
        <v>14</v>
      </c>
      <c r="D164" s="1" t="s">
        <v>12</v>
      </c>
      <c r="E164" s="1">
        <v>73</v>
      </c>
      <c r="F164" s="1">
        <v>85</v>
      </c>
      <c r="G164" s="1">
        <v>77</v>
      </c>
      <c r="H164" s="1">
        <v>83</v>
      </c>
      <c r="I164" s="1">
        <v>80</v>
      </c>
    </row>
    <row r="165" spans="1:9" x14ac:dyDescent="0.25">
      <c r="A165" s="2" t="s">
        <v>100</v>
      </c>
      <c r="B165" s="2" t="s">
        <v>10</v>
      </c>
      <c r="C165" s="2" t="s">
        <v>15</v>
      </c>
      <c r="D165" s="2" t="s">
        <v>12</v>
      </c>
      <c r="E165" s="2">
        <v>56</v>
      </c>
      <c r="F165" s="2">
        <v>76</v>
      </c>
      <c r="G165" s="2">
        <v>27</v>
      </c>
      <c r="H165" s="2">
        <v>66</v>
      </c>
      <c r="I165" s="2">
        <v>20</v>
      </c>
    </row>
    <row r="166" spans="1:9" x14ac:dyDescent="0.25">
      <c r="A166" s="1" t="s">
        <v>100</v>
      </c>
      <c r="B166" s="1" t="s">
        <v>10</v>
      </c>
      <c r="C166" s="1" t="s">
        <v>16</v>
      </c>
      <c r="D166" s="1" t="s">
        <v>12</v>
      </c>
      <c r="E166" s="1">
        <v>69</v>
      </c>
      <c r="F166" s="1">
        <v>34</v>
      </c>
      <c r="G166" s="1">
        <v>11</v>
      </c>
      <c r="H166" s="1">
        <v>48</v>
      </c>
      <c r="I166" s="1">
        <v>28</v>
      </c>
    </row>
    <row r="167" spans="1:9" x14ac:dyDescent="0.25">
      <c r="A167" s="2" t="s">
        <v>100</v>
      </c>
      <c r="B167" s="2" t="s">
        <v>10</v>
      </c>
      <c r="C167" s="2" t="s">
        <v>17</v>
      </c>
      <c r="D167" s="2" t="s">
        <v>12</v>
      </c>
      <c r="E167" s="2">
        <v>21</v>
      </c>
      <c r="F167" s="2">
        <v>30</v>
      </c>
      <c r="G167" s="2">
        <v>88</v>
      </c>
      <c r="H167" s="2">
        <v>76</v>
      </c>
      <c r="I167" s="2">
        <v>16</v>
      </c>
    </row>
    <row r="168" spans="1:9" x14ac:dyDescent="0.25">
      <c r="A168" s="1" t="s">
        <v>100</v>
      </c>
      <c r="B168" s="1" t="s">
        <v>10</v>
      </c>
      <c r="C168" s="1" t="s">
        <v>18</v>
      </c>
      <c r="D168" s="1" t="s">
        <v>12</v>
      </c>
      <c r="E168" s="1">
        <v>44</v>
      </c>
      <c r="F168" s="1">
        <v>47</v>
      </c>
      <c r="G168" s="1">
        <v>11</v>
      </c>
      <c r="H168" s="1">
        <v>10</v>
      </c>
      <c r="I168" s="1">
        <v>64</v>
      </c>
    </row>
    <row r="169" spans="1:9" x14ac:dyDescent="0.25">
      <c r="A169" s="2" t="s">
        <v>100</v>
      </c>
      <c r="B169" s="2" t="s">
        <v>10</v>
      </c>
      <c r="C169" s="2" t="s">
        <v>19</v>
      </c>
      <c r="D169" s="2" t="s">
        <v>12</v>
      </c>
      <c r="E169" s="2">
        <v>10</v>
      </c>
      <c r="F169" s="2">
        <v>30</v>
      </c>
      <c r="G169" s="2">
        <v>45</v>
      </c>
      <c r="H169" s="2">
        <v>100</v>
      </c>
      <c r="I169" s="2">
        <v>82</v>
      </c>
    </row>
    <row r="170" spans="1:9" x14ac:dyDescent="0.25">
      <c r="A170" s="1" t="s">
        <v>100</v>
      </c>
      <c r="B170" s="1" t="s">
        <v>10</v>
      </c>
      <c r="C170" s="1" t="s">
        <v>20</v>
      </c>
      <c r="D170" s="1" t="s">
        <v>12</v>
      </c>
      <c r="E170" s="1">
        <v>41</v>
      </c>
      <c r="F170" s="1">
        <v>84</v>
      </c>
      <c r="G170" s="1">
        <v>81</v>
      </c>
      <c r="H170" s="1">
        <v>64</v>
      </c>
      <c r="I170" s="1">
        <v>78</v>
      </c>
    </row>
    <row r="171" spans="1:9" x14ac:dyDescent="0.25">
      <c r="A171" s="2" t="s">
        <v>100</v>
      </c>
      <c r="B171" s="2" t="s">
        <v>10</v>
      </c>
      <c r="C171" s="2" t="s">
        <v>21</v>
      </c>
      <c r="D171" s="2" t="s">
        <v>12</v>
      </c>
      <c r="E171" s="2">
        <v>49</v>
      </c>
      <c r="F171" s="2">
        <v>69</v>
      </c>
      <c r="G171" s="2">
        <v>74</v>
      </c>
      <c r="H171" s="2">
        <v>22</v>
      </c>
      <c r="I171" s="2">
        <v>63</v>
      </c>
    </row>
    <row r="172" spans="1:9" x14ac:dyDescent="0.25">
      <c r="A172" s="1" t="s">
        <v>100</v>
      </c>
      <c r="B172" s="1" t="s">
        <v>22</v>
      </c>
      <c r="C172" s="1" t="s">
        <v>23</v>
      </c>
      <c r="D172" s="1" t="s">
        <v>12</v>
      </c>
      <c r="E172" s="1">
        <v>17</v>
      </c>
      <c r="F172" s="1">
        <v>45</v>
      </c>
      <c r="G172" s="1">
        <v>83</v>
      </c>
      <c r="H172" s="1">
        <v>60</v>
      </c>
      <c r="I172" s="1">
        <v>13</v>
      </c>
    </row>
    <row r="173" spans="1:9" x14ac:dyDescent="0.25">
      <c r="A173" s="2" t="s">
        <v>100</v>
      </c>
      <c r="B173" s="2" t="s">
        <v>22</v>
      </c>
      <c r="C173" s="2" t="s">
        <v>24</v>
      </c>
      <c r="D173" s="2" t="s">
        <v>12</v>
      </c>
      <c r="E173" s="2">
        <v>95</v>
      </c>
      <c r="F173" s="2">
        <v>96</v>
      </c>
      <c r="G173" s="2">
        <v>69</v>
      </c>
      <c r="H173" s="2">
        <v>64</v>
      </c>
      <c r="I173" s="2">
        <v>92</v>
      </c>
    </row>
    <row r="174" spans="1:9" x14ac:dyDescent="0.25">
      <c r="A174" s="1" t="s">
        <v>100</v>
      </c>
      <c r="B174" s="1" t="s">
        <v>22</v>
      </c>
      <c r="C174" s="1" t="s">
        <v>25</v>
      </c>
      <c r="D174" s="1" t="s">
        <v>12</v>
      </c>
      <c r="E174" s="1">
        <v>83</v>
      </c>
      <c r="F174" s="1">
        <v>54</v>
      </c>
      <c r="G174" s="1">
        <v>34</v>
      </c>
      <c r="H174" s="1">
        <v>94</v>
      </c>
      <c r="I174" s="1">
        <v>53</v>
      </c>
    </row>
    <row r="175" spans="1:9" x14ac:dyDescent="0.25">
      <c r="A175" s="2" t="s">
        <v>100</v>
      </c>
      <c r="B175" s="2" t="s">
        <v>22</v>
      </c>
      <c r="C175" s="2" t="s">
        <v>26</v>
      </c>
      <c r="D175" s="2" t="s">
        <v>12</v>
      </c>
      <c r="E175" s="2">
        <v>32</v>
      </c>
      <c r="F175" s="2">
        <v>51</v>
      </c>
      <c r="G175" s="2">
        <v>50</v>
      </c>
      <c r="H175" s="2">
        <v>25</v>
      </c>
      <c r="I175" s="2">
        <v>36</v>
      </c>
    </row>
    <row r="176" spans="1:9" x14ac:dyDescent="0.25">
      <c r="A176" s="1" t="s">
        <v>100</v>
      </c>
      <c r="B176" s="1" t="s">
        <v>22</v>
      </c>
      <c r="C176" s="1" t="s">
        <v>27</v>
      </c>
      <c r="D176" s="1" t="s">
        <v>12</v>
      </c>
      <c r="E176" s="1">
        <v>73</v>
      </c>
      <c r="F176" s="1">
        <v>74</v>
      </c>
      <c r="G176" s="1">
        <v>84</v>
      </c>
      <c r="H176" s="1">
        <v>72</v>
      </c>
      <c r="I176" s="1">
        <v>26</v>
      </c>
    </row>
    <row r="177" spans="1:9" x14ac:dyDescent="0.25">
      <c r="A177" s="2" t="s">
        <v>100</v>
      </c>
      <c r="B177" s="2" t="s">
        <v>22</v>
      </c>
      <c r="C177" s="2" t="s">
        <v>28</v>
      </c>
      <c r="D177" s="2" t="s">
        <v>12</v>
      </c>
      <c r="E177" s="2">
        <v>92</v>
      </c>
      <c r="F177" s="2">
        <v>63</v>
      </c>
      <c r="G177" s="2">
        <v>77</v>
      </c>
      <c r="H177" s="2">
        <v>30</v>
      </c>
      <c r="I177" s="2">
        <v>31</v>
      </c>
    </row>
    <row r="178" spans="1:9" x14ac:dyDescent="0.25">
      <c r="A178" s="1" t="s">
        <v>100</v>
      </c>
      <c r="B178" s="1" t="s">
        <v>22</v>
      </c>
      <c r="C178" s="1" t="s">
        <v>29</v>
      </c>
      <c r="D178" s="1" t="s">
        <v>12</v>
      </c>
      <c r="E178" s="1">
        <v>15</v>
      </c>
      <c r="F178" s="1">
        <v>73</v>
      </c>
      <c r="G178" s="1">
        <v>41</v>
      </c>
      <c r="H178" s="1">
        <v>50</v>
      </c>
      <c r="I178" s="1">
        <v>25</v>
      </c>
    </row>
    <row r="179" spans="1:9" x14ac:dyDescent="0.25">
      <c r="A179" s="2" t="s">
        <v>100</v>
      </c>
      <c r="B179" s="2" t="s">
        <v>22</v>
      </c>
      <c r="C179" s="2" t="s">
        <v>30</v>
      </c>
      <c r="D179" s="2" t="s">
        <v>12</v>
      </c>
      <c r="E179" s="2">
        <v>34</v>
      </c>
      <c r="F179" s="2">
        <v>40</v>
      </c>
      <c r="G179" s="2">
        <v>67</v>
      </c>
      <c r="H179" s="2">
        <v>20</v>
      </c>
      <c r="I179" s="2">
        <v>25</v>
      </c>
    </row>
    <row r="180" spans="1:9" x14ac:dyDescent="0.25">
      <c r="A180" s="1" t="s">
        <v>100</v>
      </c>
      <c r="B180" s="1" t="s">
        <v>22</v>
      </c>
      <c r="C180" s="1" t="s">
        <v>31</v>
      </c>
      <c r="D180" s="1" t="s">
        <v>12</v>
      </c>
      <c r="E180" s="1">
        <v>22</v>
      </c>
      <c r="F180" s="1">
        <v>59</v>
      </c>
      <c r="G180" s="1">
        <v>94</v>
      </c>
      <c r="H180" s="1">
        <v>46</v>
      </c>
      <c r="I180" s="1">
        <v>34</v>
      </c>
    </row>
    <row r="181" spans="1:9" x14ac:dyDescent="0.25">
      <c r="A181" s="2" t="s">
        <v>100</v>
      </c>
      <c r="B181" s="2" t="s">
        <v>22</v>
      </c>
      <c r="C181" s="2" t="s">
        <v>32</v>
      </c>
      <c r="D181" s="2" t="s">
        <v>12</v>
      </c>
      <c r="E181" s="2">
        <v>15</v>
      </c>
      <c r="F181" s="2">
        <v>31</v>
      </c>
      <c r="G181" s="2">
        <v>35</v>
      </c>
      <c r="H181" s="2">
        <v>72</v>
      </c>
      <c r="I181" s="2">
        <v>33</v>
      </c>
    </row>
    <row r="182" spans="1:9" x14ac:dyDescent="0.25">
      <c r="A182" s="1" t="s">
        <v>100</v>
      </c>
      <c r="B182" s="1" t="s">
        <v>33</v>
      </c>
      <c r="C182" s="1" t="s">
        <v>34</v>
      </c>
      <c r="D182" s="1" t="s">
        <v>12</v>
      </c>
      <c r="E182" s="1">
        <v>41</v>
      </c>
      <c r="F182" s="1">
        <v>31</v>
      </c>
      <c r="G182" s="1">
        <v>29</v>
      </c>
      <c r="H182" s="1">
        <v>88</v>
      </c>
      <c r="I182" s="1">
        <v>42</v>
      </c>
    </row>
    <row r="183" spans="1:9" x14ac:dyDescent="0.25">
      <c r="A183" s="2" t="s">
        <v>100</v>
      </c>
      <c r="B183" s="2" t="s">
        <v>33</v>
      </c>
      <c r="C183" s="2" t="s">
        <v>35</v>
      </c>
      <c r="D183" s="2" t="s">
        <v>12</v>
      </c>
      <c r="E183" s="2">
        <v>49</v>
      </c>
      <c r="F183" s="2">
        <v>99</v>
      </c>
      <c r="G183" s="2">
        <v>14</v>
      </c>
      <c r="H183" s="2">
        <v>79</v>
      </c>
      <c r="I183" s="2">
        <v>34</v>
      </c>
    </row>
    <row r="184" spans="1:9" x14ac:dyDescent="0.25">
      <c r="A184" s="1" t="s">
        <v>100</v>
      </c>
      <c r="B184" s="1" t="s">
        <v>33</v>
      </c>
      <c r="C184" s="1" t="s">
        <v>36</v>
      </c>
      <c r="D184" s="1" t="s">
        <v>12</v>
      </c>
      <c r="E184" s="1">
        <v>54</v>
      </c>
      <c r="F184" s="1">
        <v>57</v>
      </c>
      <c r="G184" s="1">
        <v>81</v>
      </c>
      <c r="H184" s="1">
        <v>46</v>
      </c>
      <c r="I184" s="1">
        <v>15</v>
      </c>
    </row>
    <row r="185" spans="1:9" x14ac:dyDescent="0.25">
      <c r="A185" s="2" t="s">
        <v>100</v>
      </c>
      <c r="B185" s="2" t="s">
        <v>33</v>
      </c>
      <c r="C185" s="2" t="s">
        <v>37</v>
      </c>
      <c r="D185" s="2" t="s">
        <v>12</v>
      </c>
      <c r="E185" s="2">
        <v>11</v>
      </c>
      <c r="F185" s="2">
        <v>10</v>
      </c>
      <c r="G185" s="2">
        <v>41</v>
      </c>
      <c r="H185" s="2">
        <v>20</v>
      </c>
      <c r="I185" s="2">
        <v>23</v>
      </c>
    </row>
    <row r="186" spans="1:9" x14ac:dyDescent="0.25">
      <c r="A186" s="1" t="s">
        <v>100</v>
      </c>
      <c r="B186" s="1" t="s">
        <v>33</v>
      </c>
      <c r="C186" s="1" t="s">
        <v>38</v>
      </c>
      <c r="D186" s="1" t="s">
        <v>12</v>
      </c>
      <c r="E186" s="1">
        <v>21</v>
      </c>
      <c r="F186" s="1">
        <v>27</v>
      </c>
      <c r="G186" s="1">
        <v>24</v>
      </c>
      <c r="H186" s="1">
        <v>62</v>
      </c>
      <c r="I186" s="1">
        <v>35</v>
      </c>
    </row>
    <row r="187" spans="1:9" x14ac:dyDescent="0.25">
      <c r="A187" s="2" t="s">
        <v>100</v>
      </c>
      <c r="B187" s="2" t="s">
        <v>33</v>
      </c>
      <c r="C187" s="2" t="s">
        <v>39</v>
      </c>
      <c r="D187" s="2" t="s">
        <v>12</v>
      </c>
      <c r="E187" s="2">
        <v>94</v>
      </c>
      <c r="F187" s="2">
        <v>59</v>
      </c>
      <c r="G187" s="2">
        <v>91</v>
      </c>
      <c r="H187" s="2">
        <v>82</v>
      </c>
      <c r="I187" s="2">
        <v>72</v>
      </c>
    </row>
    <row r="188" spans="1:9" x14ac:dyDescent="0.25">
      <c r="A188" s="1" t="s">
        <v>100</v>
      </c>
      <c r="B188" s="1" t="s">
        <v>33</v>
      </c>
      <c r="C188" s="1" t="s">
        <v>40</v>
      </c>
      <c r="D188" s="1" t="s">
        <v>12</v>
      </c>
      <c r="E188" s="1">
        <v>46</v>
      </c>
      <c r="F188" s="1">
        <v>29</v>
      </c>
      <c r="G188" s="1">
        <v>47</v>
      </c>
      <c r="H188" s="1">
        <v>82</v>
      </c>
      <c r="I188" s="1">
        <v>68</v>
      </c>
    </row>
    <row r="189" spans="1:9" x14ac:dyDescent="0.25">
      <c r="A189" s="2" t="s">
        <v>100</v>
      </c>
      <c r="B189" s="2" t="s">
        <v>33</v>
      </c>
      <c r="C189" s="2" t="s">
        <v>41</v>
      </c>
      <c r="D189" s="2" t="s">
        <v>12</v>
      </c>
      <c r="E189" s="2">
        <v>37</v>
      </c>
      <c r="F189" s="2">
        <v>17</v>
      </c>
      <c r="G189" s="2">
        <v>62</v>
      </c>
      <c r="H189" s="2">
        <v>52</v>
      </c>
      <c r="I189" s="2">
        <v>62</v>
      </c>
    </row>
    <row r="190" spans="1:9" x14ac:dyDescent="0.25">
      <c r="A190" s="1" t="s">
        <v>100</v>
      </c>
      <c r="B190" s="1" t="s">
        <v>33</v>
      </c>
      <c r="C190" s="1" t="s">
        <v>42</v>
      </c>
      <c r="D190" s="1" t="s">
        <v>12</v>
      </c>
      <c r="E190" s="1">
        <v>32</v>
      </c>
      <c r="F190" s="1">
        <v>11</v>
      </c>
      <c r="G190" s="1">
        <v>97</v>
      </c>
      <c r="H190" s="1">
        <v>19</v>
      </c>
      <c r="I190" s="1">
        <v>76</v>
      </c>
    </row>
    <row r="191" spans="1:9" x14ac:dyDescent="0.25">
      <c r="A191" s="2" t="s">
        <v>100</v>
      </c>
      <c r="B191" s="2" t="s">
        <v>33</v>
      </c>
      <c r="C191" s="2" t="s">
        <v>43</v>
      </c>
      <c r="D191" s="2" t="s">
        <v>12</v>
      </c>
      <c r="E191" s="2">
        <v>48</v>
      </c>
      <c r="F191" s="2">
        <v>79</v>
      </c>
      <c r="G191" s="2">
        <v>80</v>
      </c>
      <c r="H191" s="2">
        <v>23</v>
      </c>
      <c r="I191" s="2">
        <v>87</v>
      </c>
    </row>
    <row r="192" spans="1:9" x14ac:dyDescent="0.25">
      <c r="A192" s="1" t="s">
        <v>100</v>
      </c>
      <c r="B192" s="1" t="s">
        <v>44</v>
      </c>
      <c r="C192" s="1" t="s">
        <v>45</v>
      </c>
      <c r="D192" s="1" t="s">
        <v>12</v>
      </c>
      <c r="E192" s="1">
        <v>24</v>
      </c>
      <c r="F192" s="1">
        <v>20</v>
      </c>
      <c r="G192" s="1">
        <v>86</v>
      </c>
      <c r="H192" s="1">
        <v>32</v>
      </c>
      <c r="I192" s="1">
        <v>32</v>
      </c>
    </row>
    <row r="193" spans="1:9" x14ac:dyDescent="0.25">
      <c r="A193" s="2" t="s">
        <v>100</v>
      </c>
      <c r="B193" s="2" t="s">
        <v>44</v>
      </c>
      <c r="C193" s="2" t="s">
        <v>46</v>
      </c>
      <c r="D193" s="2" t="s">
        <v>12</v>
      </c>
      <c r="E193" s="2">
        <v>38</v>
      </c>
      <c r="F193" s="2">
        <v>64</v>
      </c>
      <c r="G193" s="2">
        <v>37</v>
      </c>
      <c r="H193" s="2">
        <v>84</v>
      </c>
      <c r="I193" s="2">
        <v>36</v>
      </c>
    </row>
    <row r="194" spans="1:9" x14ac:dyDescent="0.25">
      <c r="A194" s="1" t="s">
        <v>100</v>
      </c>
      <c r="B194" s="1" t="s">
        <v>44</v>
      </c>
      <c r="C194" s="1" t="s">
        <v>47</v>
      </c>
      <c r="D194" s="1" t="s">
        <v>12</v>
      </c>
      <c r="E194" s="1">
        <v>67</v>
      </c>
      <c r="F194" s="1">
        <v>62</v>
      </c>
      <c r="G194" s="1">
        <v>41</v>
      </c>
      <c r="H194" s="1">
        <v>44</v>
      </c>
      <c r="I194" s="1">
        <v>44</v>
      </c>
    </row>
    <row r="195" spans="1:9" x14ac:dyDescent="0.25">
      <c r="A195" s="2" t="s">
        <v>100</v>
      </c>
      <c r="B195" s="2" t="s">
        <v>44</v>
      </c>
      <c r="C195" s="2" t="s">
        <v>48</v>
      </c>
      <c r="D195" s="2" t="s">
        <v>12</v>
      </c>
      <c r="E195" s="2">
        <v>16</v>
      </c>
      <c r="F195" s="2">
        <v>31</v>
      </c>
      <c r="G195" s="2">
        <v>95</v>
      </c>
      <c r="H195" s="2">
        <v>31</v>
      </c>
      <c r="I195" s="2">
        <v>16</v>
      </c>
    </row>
    <row r="196" spans="1:9" x14ac:dyDescent="0.25">
      <c r="A196" s="1" t="s">
        <v>100</v>
      </c>
      <c r="B196" s="1" t="s">
        <v>44</v>
      </c>
      <c r="C196" s="1" t="s">
        <v>49</v>
      </c>
      <c r="D196" s="1" t="s">
        <v>12</v>
      </c>
      <c r="E196" s="1">
        <v>66</v>
      </c>
      <c r="F196" s="1">
        <v>90</v>
      </c>
      <c r="G196" s="1">
        <v>79</v>
      </c>
      <c r="H196" s="1">
        <v>22</v>
      </c>
      <c r="I196" s="1">
        <v>11</v>
      </c>
    </row>
    <row r="197" spans="1:9" x14ac:dyDescent="0.25">
      <c r="A197" s="2" t="s">
        <v>100</v>
      </c>
      <c r="B197" s="2" t="s">
        <v>44</v>
      </c>
      <c r="C197" s="2" t="s">
        <v>50</v>
      </c>
      <c r="D197" s="2" t="s">
        <v>12</v>
      </c>
      <c r="E197" s="2">
        <v>20</v>
      </c>
      <c r="F197" s="2">
        <v>74</v>
      </c>
      <c r="G197" s="2">
        <v>71</v>
      </c>
      <c r="H197" s="2">
        <v>33</v>
      </c>
      <c r="I197" s="2">
        <v>64</v>
      </c>
    </row>
    <row r="198" spans="1:9" x14ac:dyDescent="0.25">
      <c r="A198" s="1" t="s">
        <v>100</v>
      </c>
      <c r="B198" s="1" t="s">
        <v>44</v>
      </c>
      <c r="C198" s="1" t="s">
        <v>51</v>
      </c>
      <c r="D198" s="1" t="s">
        <v>12</v>
      </c>
      <c r="E198" s="1">
        <v>38</v>
      </c>
      <c r="F198" s="1">
        <v>61</v>
      </c>
      <c r="G198" s="1">
        <v>51</v>
      </c>
      <c r="H198" s="1">
        <v>56</v>
      </c>
      <c r="I198" s="1">
        <v>57</v>
      </c>
    </row>
    <row r="199" spans="1:9" x14ac:dyDescent="0.25">
      <c r="A199" s="2" t="s">
        <v>100</v>
      </c>
      <c r="B199" s="2" t="s">
        <v>44</v>
      </c>
      <c r="C199" s="2" t="s">
        <v>52</v>
      </c>
      <c r="D199" s="2" t="s">
        <v>12</v>
      </c>
      <c r="E199" s="2">
        <v>31</v>
      </c>
      <c r="F199" s="2">
        <v>41</v>
      </c>
      <c r="G199" s="2">
        <v>83</v>
      </c>
      <c r="H199" s="2">
        <v>49</v>
      </c>
      <c r="I199" s="2">
        <v>89</v>
      </c>
    </row>
    <row r="200" spans="1:9" x14ac:dyDescent="0.25">
      <c r="A200" s="1" t="s">
        <v>100</v>
      </c>
      <c r="B200" s="1" t="s">
        <v>44</v>
      </c>
      <c r="C200" s="1" t="s">
        <v>53</v>
      </c>
      <c r="D200" s="1" t="s">
        <v>12</v>
      </c>
      <c r="E200" s="1">
        <v>44</v>
      </c>
      <c r="F200" s="1">
        <v>20</v>
      </c>
      <c r="G200" s="1">
        <v>99</v>
      </c>
      <c r="H200" s="1">
        <v>60</v>
      </c>
      <c r="I200" s="1">
        <v>27</v>
      </c>
    </row>
    <row r="201" spans="1:9" x14ac:dyDescent="0.25">
      <c r="A201" s="2" t="s">
        <v>100</v>
      </c>
      <c r="B201" s="2" t="s">
        <v>44</v>
      </c>
      <c r="C201" s="2" t="s">
        <v>54</v>
      </c>
      <c r="D201" s="2" t="s">
        <v>12</v>
      </c>
      <c r="E201" s="2">
        <v>11</v>
      </c>
      <c r="F201" s="2">
        <v>92</v>
      </c>
      <c r="G201" s="2">
        <v>47</v>
      </c>
      <c r="H201" s="2">
        <v>56</v>
      </c>
      <c r="I201" s="2">
        <v>64</v>
      </c>
    </row>
    <row r="202" spans="1:9" x14ac:dyDescent="0.25">
      <c r="A202" s="1" t="s">
        <v>100</v>
      </c>
      <c r="B202" s="1" t="s">
        <v>55</v>
      </c>
      <c r="C202" s="1" t="s">
        <v>56</v>
      </c>
      <c r="D202" s="1" t="s">
        <v>12</v>
      </c>
      <c r="E202" s="1">
        <v>97</v>
      </c>
      <c r="F202" s="1">
        <v>33</v>
      </c>
      <c r="G202" s="1">
        <v>100</v>
      </c>
      <c r="H202" s="1">
        <v>88</v>
      </c>
      <c r="I202" s="1">
        <v>46</v>
      </c>
    </row>
    <row r="203" spans="1:9" x14ac:dyDescent="0.25">
      <c r="A203" s="2" t="s">
        <v>100</v>
      </c>
      <c r="B203" s="2" t="s">
        <v>55</v>
      </c>
      <c r="C203" s="2" t="s">
        <v>57</v>
      </c>
      <c r="D203" s="2" t="s">
        <v>12</v>
      </c>
      <c r="E203" s="2">
        <v>36</v>
      </c>
      <c r="F203" s="2">
        <v>75</v>
      </c>
      <c r="G203" s="2">
        <v>88</v>
      </c>
      <c r="H203" s="2">
        <v>75</v>
      </c>
      <c r="I203" s="2">
        <v>42</v>
      </c>
    </row>
    <row r="204" spans="1:9" x14ac:dyDescent="0.25">
      <c r="A204" s="1" t="s">
        <v>100</v>
      </c>
      <c r="B204" s="1" t="s">
        <v>55</v>
      </c>
      <c r="C204" s="1" t="s">
        <v>58</v>
      </c>
      <c r="D204" s="1" t="s">
        <v>12</v>
      </c>
      <c r="E204" s="1">
        <v>38</v>
      </c>
      <c r="F204" s="1">
        <v>38</v>
      </c>
      <c r="G204" s="1">
        <v>21</v>
      </c>
      <c r="H204" s="1">
        <v>84</v>
      </c>
      <c r="I204" s="1">
        <v>30</v>
      </c>
    </row>
    <row r="205" spans="1:9" x14ac:dyDescent="0.25">
      <c r="A205" s="2" t="s">
        <v>100</v>
      </c>
      <c r="B205" s="2" t="s">
        <v>55</v>
      </c>
      <c r="C205" s="2" t="s">
        <v>59</v>
      </c>
      <c r="D205" s="2" t="s">
        <v>12</v>
      </c>
      <c r="E205" s="2">
        <v>92</v>
      </c>
      <c r="F205" s="2">
        <v>68</v>
      </c>
      <c r="G205" s="2">
        <v>75</v>
      </c>
      <c r="H205" s="2">
        <v>35</v>
      </c>
      <c r="I205" s="2">
        <v>59</v>
      </c>
    </row>
    <row r="206" spans="1:9" x14ac:dyDescent="0.25">
      <c r="A206" s="1" t="s">
        <v>100</v>
      </c>
      <c r="B206" s="1" t="s">
        <v>55</v>
      </c>
      <c r="C206" s="1" t="s">
        <v>60</v>
      </c>
      <c r="D206" s="1" t="s">
        <v>12</v>
      </c>
      <c r="E206" s="1">
        <v>61</v>
      </c>
      <c r="F206" s="1">
        <v>24</v>
      </c>
      <c r="G206" s="1">
        <v>70</v>
      </c>
      <c r="H206" s="1">
        <v>83</v>
      </c>
      <c r="I206" s="1">
        <v>32</v>
      </c>
    </row>
    <row r="207" spans="1:9" x14ac:dyDescent="0.25">
      <c r="A207" s="2" t="s">
        <v>100</v>
      </c>
      <c r="B207" s="2" t="s">
        <v>55</v>
      </c>
      <c r="C207" s="2" t="s">
        <v>61</v>
      </c>
      <c r="D207" s="2" t="s">
        <v>12</v>
      </c>
      <c r="E207" s="2">
        <v>37</v>
      </c>
      <c r="F207" s="2">
        <v>65</v>
      </c>
      <c r="G207" s="2">
        <v>14</v>
      </c>
      <c r="H207" s="2">
        <v>95</v>
      </c>
      <c r="I207" s="2">
        <v>12</v>
      </c>
    </row>
    <row r="208" spans="1:9" x14ac:dyDescent="0.25">
      <c r="A208" s="1" t="s">
        <v>100</v>
      </c>
      <c r="B208" s="1" t="s">
        <v>55</v>
      </c>
      <c r="C208" s="1" t="s">
        <v>62</v>
      </c>
      <c r="D208" s="1" t="s">
        <v>12</v>
      </c>
      <c r="E208" s="1">
        <v>22</v>
      </c>
      <c r="F208" s="1">
        <v>52</v>
      </c>
      <c r="G208" s="1">
        <v>54</v>
      </c>
      <c r="H208" s="1">
        <v>84</v>
      </c>
      <c r="I208" s="1">
        <v>69</v>
      </c>
    </row>
    <row r="209" spans="1:9" x14ac:dyDescent="0.25">
      <c r="A209" s="2" t="s">
        <v>100</v>
      </c>
      <c r="B209" s="2" t="s">
        <v>55</v>
      </c>
      <c r="C209" s="2" t="s">
        <v>63</v>
      </c>
      <c r="D209" s="2" t="s">
        <v>12</v>
      </c>
      <c r="E209" s="2">
        <v>69</v>
      </c>
      <c r="F209" s="2">
        <v>11</v>
      </c>
      <c r="G209" s="2">
        <v>84</v>
      </c>
      <c r="H209" s="2">
        <v>13</v>
      </c>
      <c r="I209" s="2">
        <v>79</v>
      </c>
    </row>
    <row r="210" spans="1:9" x14ac:dyDescent="0.25">
      <c r="A210" s="1" t="s">
        <v>100</v>
      </c>
      <c r="B210" s="1" t="s">
        <v>55</v>
      </c>
      <c r="C210" s="1" t="s">
        <v>64</v>
      </c>
      <c r="D210" s="1" t="s">
        <v>12</v>
      </c>
      <c r="E210" s="1">
        <v>99</v>
      </c>
      <c r="F210" s="1">
        <v>41</v>
      </c>
      <c r="G210" s="1">
        <v>95</v>
      </c>
      <c r="H210" s="1">
        <v>40</v>
      </c>
      <c r="I210" s="1">
        <v>93</v>
      </c>
    </row>
    <row r="211" spans="1:9" x14ac:dyDescent="0.25">
      <c r="A211" s="2" t="s">
        <v>100</v>
      </c>
      <c r="B211" s="2" t="s">
        <v>55</v>
      </c>
      <c r="C211" s="2" t="s">
        <v>65</v>
      </c>
      <c r="D211" s="2" t="s">
        <v>12</v>
      </c>
      <c r="E211" s="2">
        <v>79</v>
      </c>
      <c r="F211" s="2">
        <v>74</v>
      </c>
      <c r="G211" s="2">
        <v>45</v>
      </c>
      <c r="H211" s="2">
        <v>80</v>
      </c>
      <c r="I211" s="2">
        <v>22</v>
      </c>
    </row>
    <row r="212" spans="1:9" x14ac:dyDescent="0.25">
      <c r="A212" s="1" t="s">
        <v>100</v>
      </c>
      <c r="B212" s="1" t="s">
        <v>66</v>
      </c>
      <c r="C212" s="1" t="s">
        <v>67</v>
      </c>
      <c r="D212" s="1" t="s">
        <v>12</v>
      </c>
      <c r="E212" s="1">
        <v>35</v>
      </c>
      <c r="F212" s="1">
        <v>37</v>
      </c>
      <c r="G212" s="1">
        <v>46</v>
      </c>
      <c r="H212" s="1">
        <v>83</v>
      </c>
      <c r="I212" s="1">
        <v>78</v>
      </c>
    </row>
    <row r="213" spans="1:9" x14ac:dyDescent="0.25">
      <c r="A213" s="2" t="s">
        <v>100</v>
      </c>
      <c r="B213" s="2" t="s">
        <v>66</v>
      </c>
      <c r="C213" s="2" t="s">
        <v>68</v>
      </c>
      <c r="D213" s="2" t="s">
        <v>12</v>
      </c>
      <c r="E213" s="2">
        <v>46</v>
      </c>
      <c r="F213" s="2">
        <v>33</v>
      </c>
      <c r="G213" s="2">
        <v>17</v>
      </c>
      <c r="H213" s="2">
        <v>27</v>
      </c>
      <c r="I213" s="2">
        <v>42</v>
      </c>
    </row>
    <row r="214" spans="1:9" x14ac:dyDescent="0.25">
      <c r="A214" s="1" t="s">
        <v>100</v>
      </c>
      <c r="B214" s="1" t="s">
        <v>66</v>
      </c>
      <c r="C214" s="1" t="s">
        <v>69</v>
      </c>
      <c r="D214" s="1" t="s">
        <v>12</v>
      </c>
      <c r="E214" s="1">
        <v>69</v>
      </c>
      <c r="F214" s="1">
        <v>76</v>
      </c>
      <c r="G214" s="1">
        <v>79</v>
      </c>
      <c r="H214" s="1">
        <v>28</v>
      </c>
      <c r="I214" s="1">
        <v>22</v>
      </c>
    </row>
    <row r="215" spans="1:9" x14ac:dyDescent="0.25">
      <c r="A215" s="2" t="s">
        <v>100</v>
      </c>
      <c r="B215" s="2" t="s">
        <v>66</v>
      </c>
      <c r="C215" s="2" t="s">
        <v>70</v>
      </c>
      <c r="D215" s="2" t="s">
        <v>12</v>
      </c>
      <c r="E215" s="2">
        <v>40</v>
      </c>
      <c r="F215" s="2">
        <v>84</v>
      </c>
      <c r="G215" s="2">
        <v>33</v>
      </c>
      <c r="H215" s="2">
        <v>38</v>
      </c>
      <c r="I215" s="2">
        <v>22</v>
      </c>
    </row>
    <row r="216" spans="1:9" x14ac:dyDescent="0.25">
      <c r="A216" s="1" t="s">
        <v>100</v>
      </c>
      <c r="B216" s="1" t="s">
        <v>66</v>
      </c>
      <c r="C216" s="1" t="s">
        <v>71</v>
      </c>
      <c r="D216" s="1" t="s">
        <v>12</v>
      </c>
      <c r="E216" s="1">
        <v>92</v>
      </c>
      <c r="F216" s="1">
        <v>22</v>
      </c>
      <c r="G216" s="1">
        <v>64</v>
      </c>
      <c r="H216" s="1">
        <v>100</v>
      </c>
      <c r="I216" s="1">
        <v>76</v>
      </c>
    </row>
    <row r="217" spans="1:9" x14ac:dyDescent="0.25">
      <c r="A217" s="2" t="s">
        <v>100</v>
      </c>
      <c r="B217" s="2" t="s">
        <v>66</v>
      </c>
      <c r="C217" s="2" t="s">
        <v>72</v>
      </c>
      <c r="D217" s="2" t="s">
        <v>12</v>
      </c>
      <c r="E217" s="2">
        <v>23</v>
      </c>
      <c r="F217" s="2">
        <v>100</v>
      </c>
      <c r="G217" s="2">
        <v>92</v>
      </c>
      <c r="H217" s="2">
        <v>30</v>
      </c>
      <c r="I217" s="2">
        <v>18</v>
      </c>
    </row>
    <row r="218" spans="1:9" x14ac:dyDescent="0.25">
      <c r="A218" s="1" t="s">
        <v>100</v>
      </c>
      <c r="B218" s="1" t="s">
        <v>66</v>
      </c>
      <c r="C218" s="1" t="s">
        <v>73</v>
      </c>
      <c r="D218" s="1" t="s">
        <v>12</v>
      </c>
      <c r="E218" s="1">
        <v>61</v>
      </c>
      <c r="F218" s="1">
        <v>27</v>
      </c>
      <c r="G218" s="1">
        <v>38</v>
      </c>
      <c r="H218" s="1">
        <v>10</v>
      </c>
      <c r="I218" s="1">
        <v>15</v>
      </c>
    </row>
    <row r="219" spans="1:9" x14ac:dyDescent="0.25">
      <c r="A219" s="2" t="s">
        <v>100</v>
      </c>
      <c r="B219" s="2" t="s">
        <v>66</v>
      </c>
      <c r="C219" s="2" t="s">
        <v>74</v>
      </c>
      <c r="D219" s="2" t="s">
        <v>12</v>
      </c>
      <c r="E219" s="2">
        <v>40</v>
      </c>
      <c r="F219" s="2">
        <v>39</v>
      </c>
      <c r="G219" s="2">
        <v>23</v>
      </c>
      <c r="H219" s="2">
        <v>95</v>
      </c>
      <c r="I219" s="2">
        <v>23</v>
      </c>
    </row>
    <row r="220" spans="1:9" x14ac:dyDescent="0.25">
      <c r="A220" s="1" t="s">
        <v>100</v>
      </c>
      <c r="B220" s="1" t="s">
        <v>66</v>
      </c>
      <c r="C220" s="1" t="s">
        <v>75</v>
      </c>
      <c r="D220" s="1" t="s">
        <v>12</v>
      </c>
      <c r="E220" s="1">
        <v>13</v>
      </c>
      <c r="F220" s="1">
        <v>28</v>
      </c>
      <c r="G220" s="1">
        <v>90</v>
      </c>
      <c r="H220" s="1">
        <v>43</v>
      </c>
      <c r="I220" s="1">
        <v>77</v>
      </c>
    </row>
    <row r="221" spans="1:9" x14ac:dyDescent="0.25">
      <c r="A221" s="2" t="s">
        <v>100</v>
      </c>
      <c r="B221" s="2" t="s">
        <v>66</v>
      </c>
      <c r="C221" s="2" t="s">
        <v>76</v>
      </c>
      <c r="D221" s="2" t="s">
        <v>12</v>
      </c>
      <c r="E221" s="2">
        <v>39</v>
      </c>
      <c r="F221" s="2">
        <v>62</v>
      </c>
      <c r="G221" s="2">
        <v>69</v>
      </c>
      <c r="H221" s="2">
        <v>74</v>
      </c>
      <c r="I221" s="2">
        <v>93</v>
      </c>
    </row>
    <row r="222" spans="1:9" x14ac:dyDescent="0.25">
      <c r="A222" s="1" t="s">
        <v>100</v>
      </c>
      <c r="B222" s="1" t="s">
        <v>77</v>
      </c>
      <c r="C222" s="1" t="s">
        <v>78</v>
      </c>
      <c r="D222" s="1" t="s">
        <v>12</v>
      </c>
      <c r="E222" s="1">
        <v>90</v>
      </c>
      <c r="F222" s="1">
        <v>14</v>
      </c>
      <c r="G222" s="1">
        <v>29</v>
      </c>
      <c r="H222" s="1">
        <v>50</v>
      </c>
      <c r="I222" s="1">
        <v>70</v>
      </c>
    </row>
    <row r="223" spans="1:9" x14ac:dyDescent="0.25">
      <c r="A223" s="2" t="s">
        <v>100</v>
      </c>
      <c r="B223" s="2" t="s">
        <v>77</v>
      </c>
      <c r="C223" s="2" t="s">
        <v>79</v>
      </c>
      <c r="D223" s="2" t="s">
        <v>12</v>
      </c>
      <c r="E223" s="2">
        <v>46</v>
      </c>
      <c r="F223" s="2">
        <v>24</v>
      </c>
      <c r="G223" s="2">
        <v>53</v>
      </c>
      <c r="H223" s="2">
        <v>35</v>
      </c>
      <c r="I223" s="2">
        <v>27</v>
      </c>
    </row>
    <row r="224" spans="1:9" x14ac:dyDescent="0.25">
      <c r="A224" s="1" t="s">
        <v>100</v>
      </c>
      <c r="B224" s="1" t="s">
        <v>77</v>
      </c>
      <c r="C224" s="1" t="s">
        <v>80</v>
      </c>
      <c r="D224" s="1" t="s">
        <v>12</v>
      </c>
      <c r="E224" s="1">
        <v>81</v>
      </c>
      <c r="F224" s="1">
        <v>45</v>
      </c>
      <c r="G224" s="1">
        <v>52</v>
      </c>
      <c r="H224" s="1">
        <v>60</v>
      </c>
      <c r="I224" s="1">
        <v>48</v>
      </c>
    </row>
    <row r="225" spans="1:9" x14ac:dyDescent="0.25">
      <c r="A225" s="2" t="s">
        <v>100</v>
      </c>
      <c r="B225" s="2" t="s">
        <v>77</v>
      </c>
      <c r="C225" s="2" t="s">
        <v>81</v>
      </c>
      <c r="D225" s="2" t="s">
        <v>12</v>
      </c>
      <c r="E225" s="2">
        <v>20</v>
      </c>
      <c r="F225" s="2">
        <v>70</v>
      </c>
      <c r="G225" s="2">
        <v>51</v>
      </c>
      <c r="H225" s="2">
        <v>64</v>
      </c>
      <c r="I225" s="2">
        <v>43</v>
      </c>
    </row>
    <row r="226" spans="1:9" x14ac:dyDescent="0.25">
      <c r="A226" s="1" t="s">
        <v>100</v>
      </c>
      <c r="B226" s="1" t="s">
        <v>77</v>
      </c>
      <c r="C226" s="1" t="s">
        <v>82</v>
      </c>
      <c r="D226" s="1" t="s">
        <v>12</v>
      </c>
      <c r="E226" s="1">
        <v>69</v>
      </c>
      <c r="F226" s="1">
        <v>65</v>
      </c>
      <c r="G226" s="1">
        <v>82</v>
      </c>
      <c r="H226" s="1">
        <v>50</v>
      </c>
      <c r="I226" s="1">
        <v>19</v>
      </c>
    </row>
    <row r="227" spans="1:9" x14ac:dyDescent="0.25">
      <c r="A227" s="2" t="s">
        <v>100</v>
      </c>
      <c r="B227" s="2" t="s">
        <v>77</v>
      </c>
      <c r="C227" s="2" t="s">
        <v>83</v>
      </c>
      <c r="D227" s="2" t="s">
        <v>12</v>
      </c>
      <c r="E227" s="2">
        <v>24</v>
      </c>
      <c r="F227" s="2">
        <v>43</v>
      </c>
      <c r="G227" s="2">
        <v>34</v>
      </c>
      <c r="H227" s="2">
        <v>99</v>
      </c>
      <c r="I227" s="2">
        <v>32</v>
      </c>
    </row>
    <row r="228" spans="1:9" x14ac:dyDescent="0.25">
      <c r="A228" s="1" t="s">
        <v>100</v>
      </c>
      <c r="B228" s="1" t="s">
        <v>77</v>
      </c>
      <c r="C228" s="1" t="s">
        <v>84</v>
      </c>
      <c r="D228" s="1" t="s">
        <v>12</v>
      </c>
      <c r="E228" s="1">
        <v>42</v>
      </c>
      <c r="F228" s="1">
        <v>69</v>
      </c>
      <c r="G228" s="1">
        <v>11</v>
      </c>
      <c r="H228" s="1">
        <v>69</v>
      </c>
      <c r="I228" s="1">
        <v>38</v>
      </c>
    </row>
    <row r="229" spans="1:9" x14ac:dyDescent="0.25">
      <c r="A229" s="2" t="s">
        <v>100</v>
      </c>
      <c r="B229" s="2" t="s">
        <v>77</v>
      </c>
      <c r="C229" s="2" t="s">
        <v>85</v>
      </c>
      <c r="D229" s="2" t="s">
        <v>12</v>
      </c>
      <c r="E229" s="2">
        <v>83</v>
      </c>
      <c r="F229" s="2">
        <v>34</v>
      </c>
      <c r="G229" s="2">
        <v>81</v>
      </c>
      <c r="H229" s="2">
        <v>91</v>
      </c>
      <c r="I229" s="2">
        <v>15</v>
      </c>
    </row>
    <row r="230" spans="1:9" x14ac:dyDescent="0.25">
      <c r="A230" s="1" t="s">
        <v>100</v>
      </c>
      <c r="B230" s="1" t="s">
        <v>77</v>
      </c>
      <c r="C230" s="1" t="s">
        <v>86</v>
      </c>
      <c r="D230" s="1" t="s">
        <v>12</v>
      </c>
      <c r="E230" s="1">
        <v>97</v>
      </c>
      <c r="F230" s="1">
        <v>25</v>
      </c>
      <c r="G230" s="1">
        <v>34</v>
      </c>
      <c r="H230" s="1">
        <v>33</v>
      </c>
      <c r="I230" s="1">
        <v>35</v>
      </c>
    </row>
    <row r="231" spans="1:9" x14ac:dyDescent="0.25">
      <c r="A231" s="2" t="s">
        <v>100</v>
      </c>
      <c r="B231" s="2" t="s">
        <v>77</v>
      </c>
      <c r="C231" s="2" t="s">
        <v>87</v>
      </c>
      <c r="D231" s="2" t="s">
        <v>12</v>
      </c>
      <c r="E231" s="2">
        <v>42</v>
      </c>
      <c r="F231" s="2">
        <v>63</v>
      </c>
      <c r="G231" s="2">
        <v>81</v>
      </c>
      <c r="H231" s="2">
        <v>39</v>
      </c>
      <c r="I231" s="2">
        <v>90</v>
      </c>
    </row>
    <row r="232" spans="1:9" x14ac:dyDescent="0.25">
      <c r="A232" s="1" t="s">
        <v>100</v>
      </c>
      <c r="B232" s="1" t="s">
        <v>88</v>
      </c>
      <c r="C232" s="1" t="s">
        <v>89</v>
      </c>
      <c r="D232" s="1" t="s">
        <v>12</v>
      </c>
      <c r="E232" s="1">
        <v>100</v>
      </c>
      <c r="F232" s="1">
        <v>89</v>
      </c>
      <c r="G232" s="1">
        <v>87</v>
      </c>
      <c r="H232" s="1">
        <v>84</v>
      </c>
      <c r="I232" s="1">
        <v>97</v>
      </c>
    </row>
    <row r="233" spans="1:9" x14ac:dyDescent="0.25">
      <c r="A233" s="2" t="s">
        <v>100</v>
      </c>
      <c r="B233" s="2" t="s">
        <v>88</v>
      </c>
      <c r="C233" s="2" t="s">
        <v>90</v>
      </c>
      <c r="D233" s="2" t="s">
        <v>12</v>
      </c>
      <c r="E233" s="2">
        <v>41</v>
      </c>
      <c r="F233" s="2">
        <v>15</v>
      </c>
      <c r="G233" s="2">
        <v>35</v>
      </c>
      <c r="H233" s="2">
        <v>36</v>
      </c>
      <c r="I233" s="2">
        <v>82</v>
      </c>
    </row>
    <row r="234" spans="1:9" x14ac:dyDescent="0.25">
      <c r="A234" s="1" t="s">
        <v>100</v>
      </c>
      <c r="B234" s="1" t="s">
        <v>88</v>
      </c>
      <c r="C234" s="1" t="s">
        <v>91</v>
      </c>
      <c r="D234" s="1" t="s">
        <v>12</v>
      </c>
      <c r="E234" s="1">
        <v>18</v>
      </c>
      <c r="F234" s="1">
        <v>81</v>
      </c>
      <c r="G234" s="1">
        <v>19</v>
      </c>
      <c r="H234" s="1">
        <v>45</v>
      </c>
      <c r="I234" s="1">
        <v>32</v>
      </c>
    </row>
    <row r="235" spans="1:9" x14ac:dyDescent="0.25">
      <c r="A235" s="2" t="s">
        <v>100</v>
      </c>
      <c r="B235" s="2" t="s">
        <v>88</v>
      </c>
      <c r="C235" s="2" t="s">
        <v>92</v>
      </c>
      <c r="D235" s="2" t="s">
        <v>12</v>
      </c>
      <c r="E235" s="2">
        <v>50</v>
      </c>
      <c r="F235" s="2">
        <v>60</v>
      </c>
      <c r="G235" s="2">
        <v>38</v>
      </c>
      <c r="H235" s="2">
        <v>18</v>
      </c>
      <c r="I235" s="2">
        <v>83</v>
      </c>
    </row>
    <row r="236" spans="1:9" x14ac:dyDescent="0.25">
      <c r="A236" s="1" t="s">
        <v>100</v>
      </c>
      <c r="B236" s="1" t="s">
        <v>88</v>
      </c>
      <c r="C236" s="1" t="s">
        <v>93</v>
      </c>
      <c r="D236" s="1" t="s">
        <v>12</v>
      </c>
      <c r="E236" s="1">
        <v>63</v>
      </c>
      <c r="F236" s="1">
        <v>35</v>
      </c>
      <c r="G236" s="1">
        <v>10</v>
      </c>
      <c r="H236" s="1">
        <v>60</v>
      </c>
      <c r="I236" s="1">
        <v>19</v>
      </c>
    </row>
    <row r="237" spans="1:9" x14ac:dyDescent="0.25">
      <c r="A237" s="2" t="s">
        <v>100</v>
      </c>
      <c r="B237" s="2" t="s">
        <v>88</v>
      </c>
      <c r="C237" s="2" t="s">
        <v>94</v>
      </c>
      <c r="D237" s="2" t="s">
        <v>12</v>
      </c>
      <c r="E237" s="2">
        <v>67</v>
      </c>
      <c r="F237" s="2">
        <v>86</v>
      </c>
      <c r="G237" s="2">
        <v>20</v>
      </c>
      <c r="H237" s="2">
        <v>45</v>
      </c>
      <c r="I237" s="2">
        <v>83</v>
      </c>
    </row>
    <row r="238" spans="1:9" x14ac:dyDescent="0.25">
      <c r="A238" s="1" t="s">
        <v>100</v>
      </c>
      <c r="B238" s="1" t="s">
        <v>88</v>
      </c>
      <c r="C238" s="1" t="s">
        <v>95</v>
      </c>
      <c r="D238" s="1" t="s">
        <v>12</v>
      </c>
      <c r="E238" s="1">
        <v>76</v>
      </c>
      <c r="F238" s="1">
        <v>90</v>
      </c>
      <c r="G238" s="1">
        <v>61</v>
      </c>
      <c r="H238" s="1">
        <v>32</v>
      </c>
      <c r="I238" s="1">
        <v>40</v>
      </c>
    </row>
    <row r="239" spans="1:9" x14ac:dyDescent="0.25">
      <c r="A239" s="2" t="s">
        <v>100</v>
      </c>
      <c r="B239" s="2" t="s">
        <v>88</v>
      </c>
      <c r="C239" s="2" t="s">
        <v>96</v>
      </c>
      <c r="D239" s="2" t="s">
        <v>12</v>
      </c>
      <c r="E239" s="2">
        <v>93</v>
      </c>
      <c r="F239" s="2">
        <v>85</v>
      </c>
      <c r="G239" s="2">
        <v>57</v>
      </c>
      <c r="H239" s="2">
        <v>86</v>
      </c>
      <c r="I239" s="2">
        <v>55</v>
      </c>
    </row>
    <row r="240" spans="1:9" x14ac:dyDescent="0.25">
      <c r="A240" s="1" t="s">
        <v>100</v>
      </c>
      <c r="B240" s="1" t="s">
        <v>88</v>
      </c>
      <c r="C240" s="1" t="s">
        <v>97</v>
      </c>
      <c r="D240" s="1" t="s">
        <v>12</v>
      </c>
      <c r="E240" s="1">
        <v>87</v>
      </c>
      <c r="F240" s="1">
        <v>29</v>
      </c>
      <c r="G240" s="1">
        <v>24</v>
      </c>
      <c r="H240" s="1">
        <v>62</v>
      </c>
      <c r="I240" s="1">
        <v>10</v>
      </c>
    </row>
    <row r="241" spans="1:9" x14ac:dyDescent="0.25">
      <c r="A241" s="2" t="s">
        <v>100</v>
      </c>
      <c r="B241" s="2" t="s">
        <v>88</v>
      </c>
      <c r="C241" s="2" t="s">
        <v>98</v>
      </c>
      <c r="D241" s="2" t="s">
        <v>12</v>
      </c>
      <c r="E241" s="2">
        <v>34</v>
      </c>
      <c r="F241" s="2">
        <v>37</v>
      </c>
      <c r="G241" s="2">
        <v>53</v>
      </c>
      <c r="H241" s="2">
        <v>97</v>
      </c>
      <c r="I241" s="2">
        <v>19</v>
      </c>
    </row>
    <row r="242" spans="1:9" x14ac:dyDescent="0.25">
      <c r="A242" s="1" t="s">
        <v>101</v>
      </c>
      <c r="B242" s="1" t="s">
        <v>10</v>
      </c>
      <c r="C242" s="1" t="s">
        <v>11</v>
      </c>
      <c r="D242" s="1" t="s">
        <v>12</v>
      </c>
      <c r="E242" s="1">
        <v>37</v>
      </c>
      <c r="F242" s="1">
        <v>45</v>
      </c>
      <c r="G242" s="1">
        <v>97</v>
      </c>
      <c r="H242" s="1">
        <v>11</v>
      </c>
      <c r="I242" s="1">
        <v>14</v>
      </c>
    </row>
    <row r="243" spans="1:9" x14ac:dyDescent="0.25">
      <c r="A243" s="2" t="s">
        <v>101</v>
      </c>
      <c r="B243" s="2" t="s">
        <v>10</v>
      </c>
      <c r="C243" s="2" t="s">
        <v>13</v>
      </c>
      <c r="D243" s="2" t="s">
        <v>12</v>
      </c>
      <c r="E243" s="2">
        <v>42</v>
      </c>
      <c r="F243" s="2">
        <v>56</v>
      </c>
      <c r="G243" s="2">
        <v>48</v>
      </c>
      <c r="H243" s="2">
        <v>37</v>
      </c>
      <c r="I243" s="2">
        <v>84</v>
      </c>
    </row>
    <row r="244" spans="1:9" x14ac:dyDescent="0.25">
      <c r="A244" s="1" t="s">
        <v>101</v>
      </c>
      <c r="B244" s="1" t="s">
        <v>10</v>
      </c>
      <c r="C244" s="1" t="s">
        <v>14</v>
      </c>
      <c r="D244" s="1" t="s">
        <v>12</v>
      </c>
      <c r="E244" s="1">
        <v>20</v>
      </c>
      <c r="F244" s="1">
        <v>68</v>
      </c>
      <c r="G244" s="1">
        <v>68</v>
      </c>
      <c r="H244" s="1">
        <v>94</v>
      </c>
      <c r="I244" s="1">
        <v>79</v>
      </c>
    </row>
    <row r="245" spans="1:9" x14ac:dyDescent="0.25">
      <c r="A245" s="2" t="s">
        <v>101</v>
      </c>
      <c r="B245" s="2" t="s">
        <v>10</v>
      </c>
      <c r="C245" s="2" t="s">
        <v>15</v>
      </c>
      <c r="D245" s="2" t="s">
        <v>12</v>
      </c>
      <c r="E245" s="2">
        <v>35</v>
      </c>
      <c r="F245" s="2">
        <v>63</v>
      </c>
      <c r="G245" s="2">
        <v>22</v>
      </c>
      <c r="H245" s="2">
        <v>84</v>
      </c>
      <c r="I245" s="2">
        <v>15</v>
      </c>
    </row>
    <row r="246" spans="1:9" x14ac:dyDescent="0.25">
      <c r="A246" s="1" t="s">
        <v>101</v>
      </c>
      <c r="B246" s="1" t="s">
        <v>10</v>
      </c>
      <c r="C246" s="1" t="s">
        <v>16</v>
      </c>
      <c r="D246" s="1" t="s">
        <v>12</v>
      </c>
      <c r="E246" s="1">
        <v>69</v>
      </c>
      <c r="F246" s="1">
        <v>94</v>
      </c>
      <c r="G246" s="1">
        <v>24</v>
      </c>
      <c r="H246" s="1">
        <v>13</v>
      </c>
      <c r="I246" s="1">
        <v>56</v>
      </c>
    </row>
    <row r="247" spans="1:9" x14ac:dyDescent="0.25">
      <c r="A247" s="2" t="s">
        <v>101</v>
      </c>
      <c r="B247" s="2" t="s">
        <v>10</v>
      </c>
      <c r="C247" s="2" t="s">
        <v>17</v>
      </c>
      <c r="D247" s="2" t="s">
        <v>12</v>
      </c>
      <c r="E247" s="2">
        <v>46</v>
      </c>
      <c r="F247" s="2">
        <v>20</v>
      </c>
      <c r="G247" s="2">
        <v>89</v>
      </c>
      <c r="H247" s="2">
        <v>21</v>
      </c>
      <c r="I247" s="2">
        <v>30</v>
      </c>
    </row>
    <row r="248" spans="1:9" x14ac:dyDescent="0.25">
      <c r="A248" s="1" t="s">
        <v>101</v>
      </c>
      <c r="B248" s="1" t="s">
        <v>10</v>
      </c>
      <c r="C248" s="1" t="s">
        <v>18</v>
      </c>
      <c r="D248" s="1" t="s">
        <v>12</v>
      </c>
      <c r="E248" s="1">
        <v>44</v>
      </c>
      <c r="F248" s="1">
        <v>73</v>
      </c>
      <c r="G248" s="1">
        <v>93</v>
      </c>
      <c r="H248" s="1">
        <v>52</v>
      </c>
      <c r="I248" s="1">
        <v>67</v>
      </c>
    </row>
    <row r="249" spans="1:9" x14ac:dyDescent="0.25">
      <c r="A249" s="2" t="s">
        <v>101</v>
      </c>
      <c r="B249" s="2" t="s">
        <v>10</v>
      </c>
      <c r="C249" s="2" t="s">
        <v>19</v>
      </c>
      <c r="D249" s="2" t="s">
        <v>12</v>
      </c>
      <c r="E249" s="2">
        <v>93</v>
      </c>
      <c r="F249" s="2">
        <v>54</v>
      </c>
      <c r="G249" s="2">
        <v>74</v>
      </c>
      <c r="H249" s="2">
        <v>85</v>
      </c>
      <c r="I249" s="2">
        <v>95</v>
      </c>
    </row>
    <row r="250" spans="1:9" x14ac:dyDescent="0.25">
      <c r="A250" s="1" t="s">
        <v>101</v>
      </c>
      <c r="B250" s="1" t="s">
        <v>10</v>
      </c>
      <c r="C250" s="1" t="s">
        <v>20</v>
      </c>
      <c r="D250" s="1" t="s">
        <v>12</v>
      </c>
      <c r="E250" s="1">
        <v>97</v>
      </c>
      <c r="F250" s="1">
        <v>97</v>
      </c>
      <c r="G250" s="1">
        <v>57</v>
      </c>
      <c r="H250" s="1">
        <v>35</v>
      </c>
      <c r="I250" s="1">
        <v>75</v>
      </c>
    </row>
    <row r="251" spans="1:9" x14ac:dyDescent="0.25">
      <c r="A251" s="2" t="s">
        <v>101</v>
      </c>
      <c r="B251" s="2" t="s">
        <v>10</v>
      </c>
      <c r="C251" s="2" t="s">
        <v>21</v>
      </c>
      <c r="D251" s="2" t="s">
        <v>12</v>
      </c>
      <c r="E251" s="2">
        <v>34</v>
      </c>
      <c r="F251" s="2">
        <v>70</v>
      </c>
      <c r="G251" s="2">
        <v>39</v>
      </c>
      <c r="H251" s="2">
        <v>19</v>
      </c>
      <c r="I251" s="2">
        <v>100</v>
      </c>
    </row>
    <row r="252" spans="1:9" x14ac:dyDescent="0.25">
      <c r="A252" s="1" t="s">
        <v>101</v>
      </c>
      <c r="B252" s="1" t="s">
        <v>22</v>
      </c>
      <c r="C252" s="1" t="s">
        <v>23</v>
      </c>
      <c r="D252" s="1" t="s">
        <v>12</v>
      </c>
      <c r="E252" s="1">
        <v>92</v>
      </c>
      <c r="F252" s="1">
        <v>93</v>
      </c>
      <c r="G252" s="1">
        <v>89</v>
      </c>
      <c r="H252" s="1">
        <v>84</v>
      </c>
      <c r="I252" s="1">
        <v>60</v>
      </c>
    </row>
    <row r="253" spans="1:9" x14ac:dyDescent="0.25">
      <c r="A253" s="2" t="s">
        <v>101</v>
      </c>
      <c r="B253" s="2" t="s">
        <v>22</v>
      </c>
      <c r="C253" s="2" t="s">
        <v>24</v>
      </c>
      <c r="D253" s="2" t="s">
        <v>12</v>
      </c>
      <c r="E253" s="2">
        <v>28</v>
      </c>
      <c r="F253" s="2">
        <v>27</v>
      </c>
      <c r="G253" s="2">
        <v>69</v>
      </c>
      <c r="H253" s="2">
        <v>26</v>
      </c>
      <c r="I253" s="2">
        <v>43</v>
      </c>
    </row>
    <row r="254" spans="1:9" x14ac:dyDescent="0.25">
      <c r="A254" s="1" t="s">
        <v>101</v>
      </c>
      <c r="B254" s="1" t="s">
        <v>22</v>
      </c>
      <c r="C254" s="1" t="s">
        <v>25</v>
      </c>
      <c r="D254" s="1" t="s">
        <v>12</v>
      </c>
      <c r="E254" s="1">
        <v>40</v>
      </c>
      <c r="F254" s="1">
        <v>67</v>
      </c>
      <c r="G254" s="1">
        <v>57</v>
      </c>
      <c r="H254" s="1">
        <v>47</v>
      </c>
      <c r="I254" s="1">
        <v>52</v>
      </c>
    </row>
    <row r="255" spans="1:9" x14ac:dyDescent="0.25">
      <c r="A255" s="2" t="s">
        <v>101</v>
      </c>
      <c r="B255" s="2" t="s">
        <v>22</v>
      </c>
      <c r="C255" s="2" t="s">
        <v>26</v>
      </c>
      <c r="D255" s="2" t="s">
        <v>12</v>
      </c>
      <c r="E255" s="2">
        <v>55</v>
      </c>
      <c r="F255" s="2">
        <v>38</v>
      </c>
      <c r="G255" s="2">
        <v>82</v>
      </c>
      <c r="H255" s="2">
        <v>83</v>
      </c>
      <c r="I255" s="2">
        <v>69</v>
      </c>
    </row>
    <row r="256" spans="1:9" x14ac:dyDescent="0.25">
      <c r="A256" s="1" t="s">
        <v>101</v>
      </c>
      <c r="B256" s="1" t="s">
        <v>22</v>
      </c>
      <c r="C256" s="1" t="s">
        <v>27</v>
      </c>
      <c r="D256" s="1" t="s">
        <v>12</v>
      </c>
      <c r="E256" s="1">
        <v>55</v>
      </c>
      <c r="F256" s="1">
        <v>23</v>
      </c>
      <c r="G256" s="1">
        <v>55</v>
      </c>
      <c r="H256" s="1">
        <v>89</v>
      </c>
      <c r="I256" s="1">
        <v>91</v>
      </c>
    </row>
    <row r="257" spans="1:9" x14ac:dyDescent="0.25">
      <c r="A257" s="2" t="s">
        <v>101</v>
      </c>
      <c r="B257" s="2" t="s">
        <v>22</v>
      </c>
      <c r="C257" s="2" t="s">
        <v>28</v>
      </c>
      <c r="D257" s="2" t="s">
        <v>12</v>
      </c>
      <c r="E257" s="2">
        <v>20</v>
      </c>
      <c r="F257" s="2">
        <v>54</v>
      </c>
      <c r="G257" s="2">
        <v>60</v>
      </c>
      <c r="H257" s="2">
        <v>92</v>
      </c>
      <c r="I257" s="2">
        <v>82</v>
      </c>
    </row>
    <row r="258" spans="1:9" x14ac:dyDescent="0.25">
      <c r="A258" s="1" t="s">
        <v>101</v>
      </c>
      <c r="B258" s="1" t="s">
        <v>22</v>
      </c>
      <c r="C258" s="1" t="s">
        <v>29</v>
      </c>
      <c r="D258" s="1" t="s">
        <v>12</v>
      </c>
      <c r="E258" s="1">
        <v>89</v>
      </c>
      <c r="F258" s="1">
        <v>10</v>
      </c>
      <c r="G258" s="1">
        <v>86</v>
      </c>
      <c r="H258" s="1">
        <v>30</v>
      </c>
      <c r="I258" s="1">
        <v>72</v>
      </c>
    </row>
    <row r="259" spans="1:9" x14ac:dyDescent="0.25">
      <c r="A259" s="2" t="s">
        <v>101</v>
      </c>
      <c r="B259" s="2" t="s">
        <v>22</v>
      </c>
      <c r="C259" s="2" t="s">
        <v>30</v>
      </c>
      <c r="D259" s="2" t="s">
        <v>12</v>
      </c>
      <c r="E259" s="2">
        <v>20</v>
      </c>
      <c r="F259" s="2">
        <v>25</v>
      </c>
      <c r="G259" s="2">
        <v>94</v>
      </c>
      <c r="H259" s="2">
        <v>79</v>
      </c>
      <c r="I259" s="2">
        <v>73</v>
      </c>
    </row>
    <row r="260" spans="1:9" x14ac:dyDescent="0.25">
      <c r="A260" s="1" t="s">
        <v>101</v>
      </c>
      <c r="B260" s="1" t="s">
        <v>22</v>
      </c>
      <c r="C260" s="1" t="s">
        <v>31</v>
      </c>
      <c r="D260" s="1" t="s">
        <v>12</v>
      </c>
      <c r="E260" s="1">
        <v>69</v>
      </c>
      <c r="F260" s="1">
        <v>83</v>
      </c>
      <c r="G260" s="1">
        <v>90</v>
      </c>
      <c r="H260" s="1">
        <v>95</v>
      </c>
      <c r="I260" s="1">
        <v>12</v>
      </c>
    </row>
    <row r="261" spans="1:9" x14ac:dyDescent="0.25">
      <c r="A261" s="2" t="s">
        <v>101</v>
      </c>
      <c r="B261" s="2" t="s">
        <v>22</v>
      </c>
      <c r="C261" s="2" t="s">
        <v>32</v>
      </c>
      <c r="D261" s="2" t="s">
        <v>12</v>
      </c>
      <c r="E261" s="2">
        <v>75</v>
      </c>
      <c r="F261" s="2">
        <v>65</v>
      </c>
      <c r="G261" s="2">
        <v>62</v>
      </c>
      <c r="H261" s="2">
        <v>78</v>
      </c>
      <c r="I261" s="2">
        <v>53</v>
      </c>
    </row>
    <row r="262" spans="1:9" x14ac:dyDescent="0.25">
      <c r="A262" s="1" t="s">
        <v>101</v>
      </c>
      <c r="B262" s="1" t="s">
        <v>33</v>
      </c>
      <c r="C262" s="1" t="s">
        <v>34</v>
      </c>
      <c r="D262" s="1" t="s">
        <v>12</v>
      </c>
      <c r="E262" s="1">
        <v>47</v>
      </c>
      <c r="F262" s="1">
        <v>58</v>
      </c>
      <c r="G262" s="1">
        <v>44</v>
      </c>
      <c r="H262" s="1">
        <v>79</v>
      </c>
      <c r="I262" s="1">
        <v>39</v>
      </c>
    </row>
    <row r="263" spans="1:9" x14ac:dyDescent="0.25">
      <c r="A263" s="2" t="s">
        <v>101</v>
      </c>
      <c r="B263" s="2" t="s">
        <v>33</v>
      </c>
      <c r="C263" s="2" t="s">
        <v>35</v>
      </c>
      <c r="D263" s="2" t="s">
        <v>12</v>
      </c>
      <c r="E263" s="2">
        <v>13</v>
      </c>
      <c r="F263" s="2">
        <v>12</v>
      </c>
      <c r="G263" s="2">
        <v>52</v>
      </c>
      <c r="H263" s="2">
        <v>46</v>
      </c>
      <c r="I263" s="2">
        <v>54</v>
      </c>
    </row>
    <row r="264" spans="1:9" x14ac:dyDescent="0.25">
      <c r="A264" s="1" t="s">
        <v>101</v>
      </c>
      <c r="B264" s="1" t="s">
        <v>33</v>
      </c>
      <c r="C264" s="1" t="s">
        <v>36</v>
      </c>
      <c r="D264" s="1" t="s">
        <v>12</v>
      </c>
      <c r="E264" s="1">
        <v>69</v>
      </c>
      <c r="F264" s="1">
        <v>23</v>
      </c>
      <c r="G264" s="1">
        <v>12</v>
      </c>
      <c r="H264" s="1">
        <v>62</v>
      </c>
      <c r="I264" s="1">
        <v>49</v>
      </c>
    </row>
    <row r="265" spans="1:9" x14ac:dyDescent="0.25">
      <c r="A265" s="2" t="s">
        <v>101</v>
      </c>
      <c r="B265" s="2" t="s">
        <v>33</v>
      </c>
      <c r="C265" s="2" t="s">
        <v>37</v>
      </c>
      <c r="D265" s="2" t="s">
        <v>12</v>
      </c>
      <c r="E265" s="2">
        <v>95</v>
      </c>
      <c r="F265" s="2">
        <v>25</v>
      </c>
      <c r="G265" s="2">
        <v>28</v>
      </c>
      <c r="H265" s="2">
        <v>45</v>
      </c>
      <c r="I265" s="2">
        <v>65</v>
      </c>
    </row>
    <row r="266" spans="1:9" x14ac:dyDescent="0.25">
      <c r="A266" s="1" t="s">
        <v>101</v>
      </c>
      <c r="B266" s="1" t="s">
        <v>33</v>
      </c>
      <c r="C266" s="1" t="s">
        <v>38</v>
      </c>
      <c r="D266" s="1" t="s">
        <v>12</v>
      </c>
      <c r="E266" s="1">
        <v>51</v>
      </c>
      <c r="F266" s="1">
        <v>32</v>
      </c>
      <c r="G266" s="1">
        <v>36</v>
      </c>
      <c r="H266" s="1">
        <v>52</v>
      </c>
      <c r="I266" s="1">
        <v>23</v>
      </c>
    </row>
    <row r="267" spans="1:9" x14ac:dyDescent="0.25">
      <c r="A267" s="2" t="s">
        <v>101</v>
      </c>
      <c r="B267" s="2" t="s">
        <v>33</v>
      </c>
      <c r="C267" s="2" t="s">
        <v>39</v>
      </c>
      <c r="D267" s="2" t="s">
        <v>12</v>
      </c>
      <c r="E267" s="2">
        <v>39</v>
      </c>
      <c r="F267" s="2">
        <v>35</v>
      </c>
      <c r="G267" s="2">
        <v>44</v>
      </c>
      <c r="H267" s="2">
        <v>68</v>
      </c>
      <c r="I267" s="2">
        <v>28</v>
      </c>
    </row>
    <row r="268" spans="1:9" x14ac:dyDescent="0.25">
      <c r="A268" s="1" t="s">
        <v>101</v>
      </c>
      <c r="B268" s="1" t="s">
        <v>33</v>
      </c>
      <c r="C268" s="1" t="s">
        <v>40</v>
      </c>
      <c r="D268" s="1" t="s">
        <v>12</v>
      </c>
      <c r="E268" s="1">
        <v>58</v>
      </c>
      <c r="F268" s="1">
        <v>42</v>
      </c>
      <c r="G268" s="1">
        <v>72</v>
      </c>
      <c r="H268" s="1">
        <v>10</v>
      </c>
      <c r="I268" s="1">
        <v>60</v>
      </c>
    </row>
    <row r="269" spans="1:9" x14ac:dyDescent="0.25">
      <c r="A269" s="2" t="s">
        <v>101</v>
      </c>
      <c r="B269" s="2" t="s">
        <v>33</v>
      </c>
      <c r="C269" s="2" t="s">
        <v>41</v>
      </c>
      <c r="D269" s="2" t="s">
        <v>12</v>
      </c>
      <c r="E269" s="2">
        <v>74</v>
      </c>
      <c r="F269" s="2">
        <v>51</v>
      </c>
      <c r="G269" s="2">
        <v>63</v>
      </c>
      <c r="H269" s="2">
        <v>45</v>
      </c>
      <c r="I269" s="2">
        <v>92</v>
      </c>
    </row>
    <row r="270" spans="1:9" x14ac:dyDescent="0.25">
      <c r="A270" s="1" t="s">
        <v>101</v>
      </c>
      <c r="B270" s="1" t="s">
        <v>33</v>
      </c>
      <c r="C270" s="1" t="s">
        <v>42</v>
      </c>
      <c r="D270" s="1" t="s">
        <v>12</v>
      </c>
      <c r="E270" s="1">
        <v>40</v>
      </c>
      <c r="F270" s="1">
        <v>19</v>
      </c>
      <c r="G270" s="1">
        <v>77</v>
      </c>
      <c r="H270" s="1">
        <v>94</v>
      </c>
      <c r="I270" s="1">
        <v>56</v>
      </c>
    </row>
    <row r="271" spans="1:9" x14ac:dyDescent="0.25">
      <c r="A271" s="2" t="s">
        <v>101</v>
      </c>
      <c r="B271" s="2" t="s">
        <v>33</v>
      </c>
      <c r="C271" s="2" t="s">
        <v>43</v>
      </c>
      <c r="D271" s="2" t="s">
        <v>12</v>
      </c>
      <c r="E271" s="2">
        <v>96</v>
      </c>
      <c r="F271" s="2">
        <v>77</v>
      </c>
      <c r="G271" s="2">
        <v>62</v>
      </c>
      <c r="H271" s="2">
        <v>38</v>
      </c>
      <c r="I271" s="2">
        <v>88</v>
      </c>
    </row>
    <row r="272" spans="1:9" x14ac:dyDescent="0.25">
      <c r="A272" s="1" t="s">
        <v>101</v>
      </c>
      <c r="B272" s="1" t="s">
        <v>44</v>
      </c>
      <c r="C272" s="1" t="s">
        <v>45</v>
      </c>
      <c r="D272" s="1" t="s">
        <v>12</v>
      </c>
      <c r="E272" s="1">
        <v>19</v>
      </c>
      <c r="F272" s="1">
        <v>70</v>
      </c>
      <c r="G272" s="1">
        <v>51</v>
      </c>
      <c r="H272" s="1">
        <v>52</v>
      </c>
      <c r="I272" s="1">
        <v>74</v>
      </c>
    </row>
    <row r="273" spans="1:9" x14ac:dyDescent="0.25">
      <c r="A273" s="2" t="s">
        <v>101</v>
      </c>
      <c r="B273" s="2" t="s">
        <v>44</v>
      </c>
      <c r="C273" s="2" t="s">
        <v>46</v>
      </c>
      <c r="D273" s="2" t="s">
        <v>12</v>
      </c>
      <c r="E273" s="2">
        <v>94</v>
      </c>
      <c r="F273" s="2">
        <v>66</v>
      </c>
      <c r="G273" s="2">
        <v>93</v>
      </c>
      <c r="H273" s="2">
        <v>25</v>
      </c>
      <c r="I273" s="2">
        <v>75</v>
      </c>
    </row>
    <row r="274" spans="1:9" x14ac:dyDescent="0.25">
      <c r="A274" s="1" t="s">
        <v>101</v>
      </c>
      <c r="B274" s="1" t="s">
        <v>44</v>
      </c>
      <c r="C274" s="1" t="s">
        <v>47</v>
      </c>
      <c r="D274" s="1" t="s">
        <v>12</v>
      </c>
      <c r="E274" s="1">
        <v>49</v>
      </c>
      <c r="F274" s="1">
        <v>52</v>
      </c>
      <c r="G274" s="1">
        <v>69</v>
      </c>
      <c r="H274" s="1">
        <v>68</v>
      </c>
      <c r="I274" s="1">
        <v>22</v>
      </c>
    </row>
    <row r="275" spans="1:9" x14ac:dyDescent="0.25">
      <c r="A275" s="2" t="s">
        <v>101</v>
      </c>
      <c r="B275" s="2" t="s">
        <v>44</v>
      </c>
      <c r="C275" s="2" t="s">
        <v>48</v>
      </c>
      <c r="D275" s="2" t="s">
        <v>12</v>
      </c>
      <c r="E275" s="2">
        <v>92</v>
      </c>
      <c r="F275" s="2">
        <v>22</v>
      </c>
      <c r="G275" s="2">
        <v>13</v>
      </c>
      <c r="H275" s="2">
        <v>91</v>
      </c>
      <c r="I275" s="2">
        <v>84</v>
      </c>
    </row>
    <row r="276" spans="1:9" x14ac:dyDescent="0.25">
      <c r="A276" s="1" t="s">
        <v>101</v>
      </c>
      <c r="B276" s="1" t="s">
        <v>44</v>
      </c>
      <c r="C276" s="1" t="s">
        <v>49</v>
      </c>
      <c r="D276" s="1" t="s">
        <v>12</v>
      </c>
      <c r="E276" s="1">
        <v>90</v>
      </c>
      <c r="F276" s="1">
        <v>90</v>
      </c>
      <c r="G276" s="1">
        <v>31</v>
      </c>
      <c r="H276" s="1">
        <v>82</v>
      </c>
      <c r="I276" s="1">
        <v>83</v>
      </c>
    </row>
    <row r="277" spans="1:9" x14ac:dyDescent="0.25">
      <c r="A277" s="2" t="s">
        <v>101</v>
      </c>
      <c r="B277" s="2" t="s">
        <v>44</v>
      </c>
      <c r="C277" s="2" t="s">
        <v>50</v>
      </c>
      <c r="D277" s="2" t="s">
        <v>12</v>
      </c>
      <c r="E277" s="2">
        <v>31</v>
      </c>
      <c r="F277" s="2">
        <v>21</v>
      </c>
      <c r="G277" s="2">
        <v>19</v>
      </c>
      <c r="H277" s="2">
        <v>59</v>
      </c>
      <c r="I277" s="2">
        <v>91</v>
      </c>
    </row>
    <row r="278" spans="1:9" x14ac:dyDescent="0.25">
      <c r="A278" s="1" t="s">
        <v>101</v>
      </c>
      <c r="B278" s="1" t="s">
        <v>44</v>
      </c>
      <c r="C278" s="1" t="s">
        <v>51</v>
      </c>
      <c r="D278" s="1" t="s">
        <v>12</v>
      </c>
      <c r="E278" s="1">
        <v>43</v>
      </c>
      <c r="F278" s="1">
        <v>24</v>
      </c>
      <c r="G278" s="1">
        <v>34</v>
      </c>
      <c r="H278" s="1">
        <v>83</v>
      </c>
      <c r="I278" s="1">
        <v>52</v>
      </c>
    </row>
    <row r="279" spans="1:9" x14ac:dyDescent="0.25">
      <c r="A279" s="2" t="s">
        <v>101</v>
      </c>
      <c r="B279" s="2" t="s">
        <v>44</v>
      </c>
      <c r="C279" s="2" t="s">
        <v>52</v>
      </c>
      <c r="D279" s="2" t="s">
        <v>12</v>
      </c>
      <c r="E279" s="2">
        <v>17</v>
      </c>
      <c r="F279" s="2">
        <v>98</v>
      </c>
      <c r="G279" s="2">
        <v>36</v>
      </c>
      <c r="H279" s="2">
        <v>12</v>
      </c>
      <c r="I279" s="2">
        <v>23</v>
      </c>
    </row>
    <row r="280" spans="1:9" x14ac:dyDescent="0.25">
      <c r="A280" s="1" t="s">
        <v>101</v>
      </c>
      <c r="B280" s="1" t="s">
        <v>44</v>
      </c>
      <c r="C280" s="1" t="s">
        <v>53</v>
      </c>
      <c r="D280" s="1" t="s">
        <v>12</v>
      </c>
      <c r="E280" s="1">
        <v>49</v>
      </c>
      <c r="F280" s="1">
        <v>74</v>
      </c>
      <c r="G280" s="1">
        <v>61</v>
      </c>
      <c r="H280" s="1">
        <v>40</v>
      </c>
      <c r="I280" s="1">
        <v>50</v>
      </c>
    </row>
    <row r="281" spans="1:9" x14ac:dyDescent="0.25">
      <c r="A281" s="2" t="s">
        <v>101</v>
      </c>
      <c r="B281" s="2" t="s">
        <v>44</v>
      </c>
      <c r="C281" s="2" t="s">
        <v>54</v>
      </c>
      <c r="D281" s="2" t="s">
        <v>12</v>
      </c>
      <c r="E281" s="2">
        <v>67</v>
      </c>
      <c r="F281" s="2">
        <v>57</v>
      </c>
      <c r="G281" s="2">
        <v>32</v>
      </c>
      <c r="H281" s="2">
        <v>62</v>
      </c>
      <c r="I281" s="2">
        <v>65</v>
      </c>
    </row>
    <row r="282" spans="1:9" x14ac:dyDescent="0.25">
      <c r="A282" s="1" t="s">
        <v>101</v>
      </c>
      <c r="B282" s="1" t="s">
        <v>55</v>
      </c>
      <c r="C282" s="1" t="s">
        <v>56</v>
      </c>
      <c r="D282" s="1" t="s">
        <v>12</v>
      </c>
      <c r="E282" s="1">
        <v>86</v>
      </c>
      <c r="F282" s="1">
        <v>27</v>
      </c>
      <c r="G282" s="1">
        <v>46</v>
      </c>
      <c r="H282" s="1">
        <v>54</v>
      </c>
      <c r="I282" s="1">
        <v>41</v>
      </c>
    </row>
    <row r="283" spans="1:9" x14ac:dyDescent="0.25">
      <c r="A283" s="2" t="s">
        <v>101</v>
      </c>
      <c r="B283" s="2" t="s">
        <v>55</v>
      </c>
      <c r="C283" s="2" t="s">
        <v>57</v>
      </c>
      <c r="D283" s="2" t="s">
        <v>12</v>
      </c>
      <c r="E283" s="2">
        <v>82</v>
      </c>
      <c r="F283" s="2">
        <v>72</v>
      </c>
      <c r="G283" s="2">
        <v>54</v>
      </c>
      <c r="H283" s="2">
        <v>83</v>
      </c>
      <c r="I283" s="2">
        <v>46</v>
      </c>
    </row>
    <row r="284" spans="1:9" x14ac:dyDescent="0.25">
      <c r="A284" s="1" t="s">
        <v>101</v>
      </c>
      <c r="B284" s="1" t="s">
        <v>55</v>
      </c>
      <c r="C284" s="1" t="s">
        <v>58</v>
      </c>
      <c r="D284" s="1" t="s">
        <v>12</v>
      </c>
      <c r="E284" s="1">
        <v>36</v>
      </c>
      <c r="F284" s="1">
        <v>57</v>
      </c>
      <c r="G284" s="1">
        <v>69</v>
      </c>
      <c r="H284" s="1">
        <v>63</v>
      </c>
      <c r="I284" s="1">
        <v>85</v>
      </c>
    </row>
    <row r="285" spans="1:9" x14ac:dyDescent="0.25">
      <c r="A285" s="2" t="s">
        <v>101</v>
      </c>
      <c r="B285" s="2" t="s">
        <v>55</v>
      </c>
      <c r="C285" s="2" t="s">
        <v>59</v>
      </c>
      <c r="D285" s="2" t="s">
        <v>12</v>
      </c>
      <c r="E285" s="2">
        <v>82</v>
      </c>
      <c r="F285" s="2">
        <v>73</v>
      </c>
      <c r="G285" s="2">
        <v>99</v>
      </c>
      <c r="H285" s="2">
        <v>60</v>
      </c>
      <c r="I285" s="2">
        <v>11</v>
      </c>
    </row>
    <row r="286" spans="1:9" x14ac:dyDescent="0.25">
      <c r="A286" s="1" t="s">
        <v>101</v>
      </c>
      <c r="B286" s="1" t="s">
        <v>55</v>
      </c>
      <c r="C286" s="1" t="s">
        <v>60</v>
      </c>
      <c r="D286" s="1" t="s">
        <v>12</v>
      </c>
      <c r="E286" s="1">
        <v>27</v>
      </c>
      <c r="F286" s="1">
        <v>88</v>
      </c>
      <c r="G286" s="1">
        <v>24</v>
      </c>
      <c r="H286" s="1">
        <v>71</v>
      </c>
      <c r="I286" s="1">
        <v>90</v>
      </c>
    </row>
    <row r="287" spans="1:9" x14ac:dyDescent="0.25">
      <c r="A287" s="2" t="s">
        <v>101</v>
      </c>
      <c r="B287" s="2" t="s">
        <v>55</v>
      </c>
      <c r="C287" s="2" t="s">
        <v>61</v>
      </c>
      <c r="D287" s="2" t="s">
        <v>12</v>
      </c>
      <c r="E287" s="2">
        <v>97</v>
      </c>
      <c r="F287" s="2">
        <v>84</v>
      </c>
      <c r="G287" s="2">
        <v>30</v>
      </c>
      <c r="H287" s="2">
        <v>60</v>
      </c>
      <c r="I287" s="2">
        <v>61</v>
      </c>
    </row>
    <row r="288" spans="1:9" x14ac:dyDescent="0.25">
      <c r="A288" s="1" t="s">
        <v>101</v>
      </c>
      <c r="B288" s="1" t="s">
        <v>55</v>
      </c>
      <c r="C288" s="1" t="s">
        <v>62</v>
      </c>
      <c r="D288" s="1" t="s">
        <v>12</v>
      </c>
      <c r="E288" s="1">
        <v>57</v>
      </c>
      <c r="F288" s="1">
        <v>100</v>
      </c>
      <c r="G288" s="1">
        <v>38</v>
      </c>
      <c r="H288" s="1">
        <v>84</v>
      </c>
      <c r="I288" s="1">
        <v>61</v>
      </c>
    </row>
    <row r="289" spans="1:9" x14ac:dyDescent="0.25">
      <c r="A289" s="2" t="s">
        <v>101</v>
      </c>
      <c r="B289" s="2" t="s">
        <v>55</v>
      </c>
      <c r="C289" s="2" t="s">
        <v>63</v>
      </c>
      <c r="D289" s="2" t="s">
        <v>12</v>
      </c>
      <c r="E289" s="2">
        <v>100</v>
      </c>
      <c r="F289" s="2">
        <v>74</v>
      </c>
      <c r="G289" s="2">
        <v>39</v>
      </c>
      <c r="H289" s="2">
        <v>93</v>
      </c>
      <c r="I289" s="2">
        <v>52</v>
      </c>
    </row>
    <row r="290" spans="1:9" x14ac:dyDescent="0.25">
      <c r="A290" s="1" t="s">
        <v>101</v>
      </c>
      <c r="B290" s="1" t="s">
        <v>55</v>
      </c>
      <c r="C290" s="1" t="s">
        <v>64</v>
      </c>
      <c r="D290" s="1" t="s">
        <v>12</v>
      </c>
      <c r="E290" s="1">
        <v>90</v>
      </c>
      <c r="F290" s="1">
        <v>50</v>
      </c>
      <c r="G290" s="1">
        <v>92</v>
      </c>
      <c r="H290" s="1">
        <v>48</v>
      </c>
      <c r="I290" s="1">
        <v>39</v>
      </c>
    </row>
    <row r="291" spans="1:9" x14ac:dyDescent="0.25">
      <c r="A291" s="2" t="s">
        <v>101</v>
      </c>
      <c r="B291" s="2" t="s">
        <v>55</v>
      </c>
      <c r="C291" s="2" t="s">
        <v>65</v>
      </c>
      <c r="D291" s="2" t="s">
        <v>12</v>
      </c>
      <c r="E291" s="2">
        <v>43</v>
      </c>
      <c r="F291" s="2">
        <v>81</v>
      </c>
      <c r="G291" s="2">
        <v>81</v>
      </c>
      <c r="H291" s="2">
        <v>100</v>
      </c>
      <c r="I291" s="2">
        <v>17</v>
      </c>
    </row>
    <row r="292" spans="1:9" x14ac:dyDescent="0.25">
      <c r="A292" s="1" t="s">
        <v>101</v>
      </c>
      <c r="B292" s="1" t="s">
        <v>66</v>
      </c>
      <c r="C292" s="1" t="s">
        <v>67</v>
      </c>
      <c r="D292" s="1" t="s">
        <v>12</v>
      </c>
      <c r="E292" s="1">
        <v>40</v>
      </c>
      <c r="F292" s="1">
        <v>82</v>
      </c>
      <c r="G292" s="1">
        <v>40</v>
      </c>
      <c r="H292" s="1">
        <v>16</v>
      </c>
      <c r="I292" s="1">
        <v>87</v>
      </c>
    </row>
    <row r="293" spans="1:9" x14ac:dyDescent="0.25">
      <c r="A293" s="2" t="s">
        <v>101</v>
      </c>
      <c r="B293" s="2" t="s">
        <v>66</v>
      </c>
      <c r="C293" s="2" t="s">
        <v>68</v>
      </c>
      <c r="D293" s="2" t="s">
        <v>12</v>
      </c>
      <c r="E293" s="2">
        <v>71</v>
      </c>
      <c r="F293" s="2">
        <v>42</v>
      </c>
      <c r="G293" s="2">
        <v>89</v>
      </c>
      <c r="H293" s="2">
        <v>88</v>
      </c>
      <c r="I293" s="2">
        <v>70</v>
      </c>
    </row>
    <row r="294" spans="1:9" x14ac:dyDescent="0.25">
      <c r="A294" s="1" t="s">
        <v>101</v>
      </c>
      <c r="B294" s="1" t="s">
        <v>66</v>
      </c>
      <c r="C294" s="1" t="s">
        <v>69</v>
      </c>
      <c r="D294" s="1" t="s">
        <v>12</v>
      </c>
      <c r="E294" s="1">
        <v>97</v>
      </c>
      <c r="F294" s="1">
        <v>66</v>
      </c>
      <c r="G294" s="1">
        <v>49</v>
      </c>
      <c r="H294" s="1">
        <v>34</v>
      </c>
      <c r="I294" s="1">
        <v>57</v>
      </c>
    </row>
    <row r="295" spans="1:9" x14ac:dyDescent="0.25">
      <c r="A295" s="2" t="s">
        <v>101</v>
      </c>
      <c r="B295" s="2" t="s">
        <v>66</v>
      </c>
      <c r="C295" s="2" t="s">
        <v>70</v>
      </c>
      <c r="D295" s="2" t="s">
        <v>12</v>
      </c>
      <c r="E295" s="2">
        <v>67</v>
      </c>
      <c r="F295" s="2">
        <v>33</v>
      </c>
      <c r="G295" s="2">
        <v>14</v>
      </c>
      <c r="H295" s="2">
        <v>56</v>
      </c>
      <c r="I295" s="2">
        <v>75</v>
      </c>
    </row>
    <row r="296" spans="1:9" x14ac:dyDescent="0.25">
      <c r="A296" s="1" t="s">
        <v>101</v>
      </c>
      <c r="B296" s="1" t="s">
        <v>66</v>
      </c>
      <c r="C296" s="1" t="s">
        <v>71</v>
      </c>
      <c r="D296" s="1" t="s">
        <v>12</v>
      </c>
      <c r="E296" s="1">
        <v>33</v>
      </c>
      <c r="F296" s="1">
        <v>62</v>
      </c>
      <c r="G296" s="1">
        <v>82</v>
      </c>
      <c r="H296" s="1">
        <v>37</v>
      </c>
      <c r="I296" s="1">
        <v>59</v>
      </c>
    </row>
    <row r="297" spans="1:9" x14ac:dyDescent="0.25">
      <c r="A297" s="2" t="s">
        <v>101</v>
      </c>
      <c r="B297" s="2" t="s">
        <v>66</v>
      </c>
      <c r="C297" s="2" t="s">
        <v>72</v>
      </c>
      <c r="D297" s="2" t="s">
        <v>12</v>
      </c>
      <c r="E297" s="2">
        <v>62</v>
      </c>
      <c r="F297" s="2">
        <v>22</v>
      </c>
      <c r="G297" s="2">
        <v>95</v>
      </c>
      <c r="H297" s="2">
        <v>14</v>
      </c>
      <c r="I297" s="2">
        <v>71</v>
      </c>
    </row>
    <row r="298" spans="1:9" x14ac:dyDescent="0.25">
      <c r="A298" s="1" t="s">
        <v>101</v>
      </c>
      <c r="B298" s="1" t="s">
        <v>66</v>
      </c>
      <c r="C298" s="1" t="s">
        <v>73</v>
      </c>
      <c r="D298" s="1" t="s">
        <v>12</v>
      </c>
      <c r="E298" s="1">
        <v>48</v>
      </c>
      <c r="F298" s="1">
        <v>48</v>
      </c>
      <c r="G298" s="1">
        <v>86</v>
      </c>
      <c r="H298" s="1">
        <v>25</v>
      </c>
      <c r="I298" s="1">
        <v>37</v>
      </c>
    </row>
    <row r="299" spans="1:9" x14ac:dyDescent="0.25">
      <c r="A299" s="2" t="s">
        <v>101</v>
      </c>
      <c r="B299" s="2" t="s">
        <v>66</v>
      </c>
      <c r="C299" s="2" t="s">
        <v>74</v>
      </c>
      <c r="D299" s="2" t="s">
        <v>12</v>
      </c>
      <c r="E299" s="2">
        <v>15</v>
      </c>
      <c r="F299" s="2">
        <v>96</v>
      </c>
      <c r="G299" s="2">
        <v>17</v>
      </c>
      <c r="H299" s="2">
        <v>67</v>
      </c>
      <c r="I299" s="2">
        <v>54</v>
      </c>
    </row>
    <row r="300" spans="1:9" x14ac:dyDescent="0.25">
      <c r="A300" s="1" t="s">
        <v>101</v>
      </c>
      <c r="B300" s="1" t="s">
        <v>66</v>
      </c>
      <c r="C300" s="1" t="s">
        <v>75</v>
      </c>
      <c r="D300" s="1" t="s">
        <v>12</v>
      </c>
      <c r="E300" s="1">
        <v>76</v>
      </c>
      <c r="F300" s="1">
        <v>46</v>
      </c>
      <c r="G300" s="1">
        <v>20</v>
      </c>
      <c r="H300" s="1">
        <v>17</v>
      </c>
      <c r="I300" s="1">
        <v>32</v>
      </c>
    </row>
    <row r="301" spans="1:9" x14ac:dyDescent="0.25">
      <c r="A301" s="2" t="s">
        <v>101</v>
      </c>
      <c r="B301" s="2" t="s">
        <v>66</v>
      </c>
      <c r="C301" s="2" t="s">
        <v>76</v>
      </c>
      <c r="D301" s="2" t="s">
        <v>12</v>
      </c>
      <c r="E301" s="2">
        <v>19</v>
      </c>
      <c r="F301" s="2">
        <v>87</v>
      </c>
      <c r="G301" s="2">
        <v>82</v>
      </c>
      <c r="H301" s="2">
        <v>79</v>
      </c>
      <c r="I301" s="2">
        <v>45</v>
      </c>
    </row>
    <row r="302" spans="1:9" x14ac:dyDescent="0.25">
      <c r="A302" s="1" t="s">
        <v>101</v>
      </c>
      <c r="B302" s="1" t="s">
        <v>77</v>
      </c>
      <c r="C302" s="1" t="s">
        <v>78</v>
      </c>
      <c r="D302" s="1" t="s">
        <v>12</v>
      </c>
      <c r="E302" s="1">
        <v>30</v>
      </c>
      <c r="F302" s="1">
        <v>75</v>
      </c>
      <c r="G302" s="1">
        <v>74</v>
      </c>
      <c r="H302" s="1">
        <v>57</v>
      </c>
      <c r="I302" s="1">
        <v>74</v>
      </c>
    </row>
    <row r="303" spans="1:9" x14ac:dyDescent="0.25">
      <c r="A303" s="2" t="s">
        <v>101</v>
      </c>
      <c r="B303" s="2" t="s">
        <v>77</v>
      </c>
      <c r="C303" s="2" t="s">
        <v>79</v>
      </c>
      <c r="D303" s="2" t="s">
        <v>12</v>
      </c>
      <c r="E303" s="2">
        <v>44</v>
      </c>
      <c r="F303" s="2">
        <v>88</v>
      </c>
      <c r="G303" s="2">
        <v>95</v>
      </c>
      <c r="H303" s="2">
        <v>97</v>
      </c>
      <c r="I303" s="2">
        <v>69</v>
      </c>
    </row>
    <row r="304" spans="1:9" x14ac:dyDescent="0.25">
      <c r="A304" s="1" t="s">
        <v>101</v>
      </c>
      <c r="B304" s="1" t="s">
        <v>77</v>
      </c>
      <c r="C304" s="1" t="s">
        <v>80</v>
      </c>
      <c r="D304" s="1" t="s">
        <v>12</v>
      </c>
      <c r="E304" s="1">
        <v>77</v>
      </c>
      <c r="F304" s="1">
        <v>52</v>
      </c>
      <c r="G304" s="1">
        <v>78</v>
      </c>
      <c r="H304" s="1">
        <v>36</v>
      </c>
      <c r="I304" s="1">
        <v>62</v>
      </c>
    </row>
    <row r="305" spans="1:9" x14ac:dyDescent="0.25">
      <c r="A305" s="2" t="s">
        <v>101</v>
      </c>
      <c r="B305" s="2" t="s">
        <v>77</v>
      </c>
      <c r="C305" s="2" t="s">
        <v>81</v>
      </c>
      <c r="D305" s="2" t="s">
        <v>12</v>
      </c>
      <c r="E305" s="2">
        <v>31</v>
      </c>
      <c r="F305" s="2">
        <v>70</v>
      </c>
      <c r="G305" s="2">
        <v>40</v>
      </c>
      <c r="H305" s="2">
        <v>61</v>
      </c>
      <c r="I305" s="2">
        <v>11</v>
      </c>
    </row>
    <row r="306" spans="1:9" x14ac:dyDescent="0.25">
      <c r="A306" s="1" t="s">
        <v>101</v>
      </c>
      <c r="B306" s="1" t="s">
        <v>77</v>
      </c>
      <c r="C306" s="1" t="s">
        <v>82</v>
      </c>
      <c r="D306" s="1" t="s">
        <v>12</v>
      </c>
      <c r="E306" s="1">
        <v>12</v>
      </c>
      <c r="F306" s="1">
        <v>80</v>
      </c>
      <c r="G306" s="1">
        <v>78</v>
      </c>
      <c r="H306" s="1">
        <v>28</v>
      </c>
      <c r="I306" s="1">
        <v>43</v>
      </c>
    </row>
    <row r="307" spans="1:9" x14ac:dyDescent="0.25">
      <c r="A307" s="2" t="s">
        <v>101</v>
      </c>
      <c r="B307" s="2" t="s">
        <v>77</v>
      </c>
      <c r="C307" s="2" t="s">
        <v>83</v>
      </c>
      <c r="D307" s="2" t="s">
        <v>12</v>
      </c>
      <c r="E307" s="2">
        <v>39</v>
      </c>
      <c r="F307" s="2">
        <v>49</v>
      </c>
      <c r="G307" s="2">
        <v>96</v>
      </c>
      <c r="H307" s="2">
        <v>73</v>
      </c>
      <c r="I307" s="2">
        <v>29</v>
      </c>
    </row>
    <row r="308" spans="1:9" x14ac:dyDescent="0.25">
      <c r="A308" s="1" t="s">
        <v>101</v>
      </c>
      <c r="B308" s="1" t="s">
        <v>77</v>
      </c>
      <c r="C308" s="1" t="s">
        <v>84</v>
      </c>
      <c r="D308" s="1" t="s">
        <v>12</v>
      </c>
      <c r="E308" s="1">
        <v>65</v>
      </c>
      <c r="F308" s="1">
        <v>91</v>
      </c>
      <c r="G308" s="1">
        <v>52</v>
      </c>
      <c r="H308" s="1">
        <v>19</v>
      </c>
      <c r="I308" s="1">
        <v>71</v>
      </c>
    </row>
    <row r="309" spans="1:9" x14ac:dyDescent="0.25">
      <c r="A309" s="2" t="s">
        <v>101</v>
      </c>
      <c r="B309" s="2" t="s">
        <v>77</v>
      </c>
      <c r="C309" s="2" t="s">
        <v>85</v>
      </c>
      <c r="D309" s="2" t="s">
        <v>12</v>
      </c>
      <c r="E309" s="2">
        <v>92</v>
      </c>
      <c r="F309" s="2">
        <v>15</v>
      </c>
      <c r="G309" s="2">
        <v>86</v>
      </c>
      <c r="H309" s="2">
        <v>55</v>
      </c>
      <c r="I309" s="2">
        <v>48</v>
      </c>
    </row>
    <row r="310" spans="1:9" x14ac:dyDescent="0.25">
      <c r="A310" s="1" t="s">
        <v>101</v>
      </c>
      <c r="B310" s="1" t="s">
        <v>77</v>
      </c>
      <c r="C310" s="1" t="s">
        <v>86</v>
      </c>
      <c r="D310" s="1" t="s">
        <v>12</v>
      </c>
      <c r="E310" s="1">
        <v>72</v>
      </c>
      <c r="F310" s="1">
        <v>96</v>
      </c>
      <c r="G310" s="1">
        <v>32</v>
      </c>
      <c r="H310" s="1">
        <v>77</v>
      </c>
      <c r="I310" s="1">
        <v>50</v>
      </c>
    </row>
    <row r="311" spans="1:9" x14ac:dyDescent="0.25">
      <c r="A311" s="2" t="s">
        <v>101</v>
      </c>
      <c r="B311" s="2" t="s">
        <v>77</v>
      </c>
      <c r="C311" s="2" t="s">
        <v>87</v>
      </c>
      <c r="D311" s="2" t="s">
        <v>12</v>
      </c>
      <c r="E311" s="2">
        <v>11</v>
      </c>
      <c r="F311" s="2">
        <v>55</v>
      </c>
      <c r="G311" s="2">
        <v>37</v>
      </c>
      <c r="H311" s="2">
        <v>12</v>
      </c>
      <c r="I311" s="2">
        <v>23</v>
      </c>
    </row>
    <row r="312" spans="1:9" x14ac:dyDescent="0.25">
      <c r="A312" s="1" t="s">
        <v>101</v>
      </c>
      <c r="B312" s="1" t="s">
        <v>88</v>
      </c>
      <c r="C312" s="1" t="s">
        <v>89</v>
      </c>
      <c r="D312" s="1" t="s">
        <v>12</v>
      </c>
      <c r="E312" s="1">
        <v>83</v>
      </c>
      <c r="F312" s="1">
        <v>35</v>
      </c>
      <c r="G312" s="1">
        <v>23</v>
      </c>
      <c r="H312" s="1">
        <v>89</v>
      </c>
      <c r="I312" s="1">
        <v>77</v>
      </c>
    </row>
    <row r="313" spans="1:9" x14ac:dyDescent="0.25">
      <c r="A313" s="2" t="s">
        <v>101</v>
      </c>
      <c r="B313" s="2" t="s">
        <v>88</v>
      </c>
      <c r="C313" s="2" t="s">
        <v>90</v>
      </c>
      <c r="D313" s="2" t="s">
        <v>12</v>
      </c>
      <c r="E313" s="2">
        <v>37</v>
      </c>
      <c r="F313" s="2">
        <v>35</v>
      </c>
      <c r="G313" s="2">
        <v>69</v>
      </c>
      <c r="H313" s="2">
        <v>82</v>
      </c>
      <c r="I313" s="2">
        <v>67</v>
      </c>
    </row>
    <row r="314" spans="1:9" x14ac:dyDescent="0.25">
      <c r="A314" s="1" t="s">
        <v>101</v>
      </c>
      <c r="B314" s="1" t="s">
        <v>88</v>
      </c>
      <c r="C314" s="1" t="s">
        <v>91</v>
      </c>
      <c r="D314" s="1" t="s">
        <v>12</v>
      </c>
      <c r="E314" s="1">
        <v>32</v>
      </c>
      <c r="F314" s="1">
        <v>54</v>
      </c>
      <c r="G314" s="1">
        <v>59</v>
      </c>
      <c r="H314" s="1">
        <v>36</v>
      </c>
      <c r="I314" s="1">
        <v>51</v>
      </c>
    </row>
    <row r="315" spans="1:9" x14ac:dyDescent="0.25">
      <c r="A315" s="2" t="s">
        <v>101</v>
      </c>
      <c r="B315" s="2" t="s">
        <v>88</v>
      </c>
      <c r="C315" s="2" t="s">
        <v>92</v>
      </c>
      <c r="D315" s="2" t="s">
        <v>12</v>
      </c>
      <c r="E315" s="2">
        <v>85</v>
      </c>
      <c r="F315" s="2">
        <v>40</v>
      </c>
      <c r="G315" s="2">
        <v>17</v>
      </c>
      <c r="H315" s="2">
        <v>57</v>
      </c>
      <c r="I315" s="2">
        <v>55</v>
      </c>
    </row>
    <row r="316" spans="1:9" x14ac:dyDescent="0.25">
      <c r="A316" s="1" t="s">
        <v>101</v>
      </c>
      <c r="B316" s="1" t="s">
        <v>88</v>
      </c>
      <c r="C316" s="1" t="s">
        <v>93</v>
      </c>
      <c r="D316" s="1" t="s">
        <v>12</v>
      </c>
      <c r="E316" s="1">
        <v>35</v>
      </c>
      <c r="F316" s="1">
        <v>95</v>
      </c>
      <c r="G316" s="1">
        <v>96</v>
      </c>
      <c r="H316" s="1">
        <v>30</v>
      </c>
      <c r="I316" s="1">
        <v>42</v>
      </c>
    </row>
    <row r="317" spans="1:9" x14ac:dyDescent="0.25">
      <c r="A317" s="2" t="s">
        <v>101</v>
      </c>
      <c r="B317" s="2" t="s">
        <v>88</v>
      </c>
      <c r="C317" s="2" t="s">
        <v>94</v>
      </c>
      <c r="D317" s="2" t="s">
        <v>12</v>
      </c>
      <c r="E317" s="2">
        <v>49</v>
      </c>
      <c r="F317" s="2">
        <v>81</v>
      </c>
      <c r="G317" s="2">
        <v>24</v>
      </c>
      <c r="H317" s="2">
        <v>92</v>
      </c>
      <c r="I317" s="2">
        <v>47</v>
      </c>
    </row>
    <row r="318" spans="1:9" x14ac:dyDescent="0.25">
      <c r="A318" s="1" t="s">
        <v>101</v>
      </c>
      <c r="B318" s="1" t="s">
        <v>88</v>
      </c>
      <c r="C318" s="1" t="s">
        <v>95</v>
      </c>
      <c r="D318" s="1" t="s">
        <v>12</v>
      </c>
      <c r="E318" s="1">
        <v>31</v>
      </c>
      <c r="F318" s="1">
        <v>21</v>
      </c>
      <c r="G318" s="1">
        <v>14</v>
      </c>
      <c r="H318" s="1">
        <v>47</v>
      </c>
      <c r="I318" s="1">
        <v>39</v>
      </c>
    </row>
    <row r="319" spans="1:9" x14ac:dyDescent="0.25">
      <c r="A319" s="2" t="s">
        <v>101</v>
      </c>
      <c r="B319" s="2" t="s">
        <v>88</v>
      </c>
      <c r="C319" s="2" t="s">
        <v>96</v>
      </c>
      <c r="D319" s="2" t="s">
        <v>12</v>
      </c>
      <c r="E319" s="2">
        <v>27</v>
      </c>
      <c r="F319" s="2">
        <v>42</v>
      </c>
      <c r="G319" s="2">
        <v>29</v>
      </c>
      <c r="H319" s="2">
        <v>53</v>
      </c>
      <c r="I319" s="2">
        <v>78</v>
      </c>
    </row>
    <row r="320" spans="1:9" x14ac:dyDescent="0.25">
      <c r="A320" s="1" t="s">
        <v>101</v>
      </c>
      <c r="B320" s="1" t="s">
        <v>88</v>
      </c>
      <c r="C320" s="1" t="s">
        <v>97</v>
      </c>
      <c r="D320" s="1" t="s">
        <v>12</v>
      </c>
      <c r="E320" s="1">
        <v>47</v>
      </c>
      <c r="F320" s="1">
        <v>82</v>
      </c>
      <c r="G320" s="1">
        <v>25</v>
      </c>
      <c r="H320" s="1">
        <v>92</v>
      </c>
      <c r="I320" s="1">
        <v>61</v>
      </c>
    </row>
    <row r="321" spans="1:9" x14ac:dyDescent="0.25">
      <c r="A321" s="2" t="s">
        <v>101</v>
      </c>
      <c r="B321" s="2" t="s">
        <v>88</v>
      </c>
      <c r="C321" s="2" t="s">
        <v>98</v>
      </c>
      <c r="D321" s="2" t="s">
        <v>12</v>
      </c>
      <c r="E321" s="2">
        <v>40</v>
      </c>
      <c r="F321" s="2">
        <v>65</v>
      </c>
      <c r="G321" s="2">
        <v>47</v>
      </c>
      <c r="H321" s="2">
        <v>16</v>
      </c>
      <c r="I321" s="2">
        <v>41</v>
      </c>
    </row>
    <row r="322" spans="1:9" x14ac:dyDescent="0.25">
      <c r="A322" s="1" t="s">
        <v>102</v>
      </c>
      <c r="B322" s="1" t="s">
        <v>10</v>
      </c>
      <c r="C322" s="1" t="s">
        <v>11</v>
      </c>
      <c r="D322" s="1" t="s">
        <v>12</v>
      </c>
      <c r="E322" s="1">
        <v>91</v>
      </c>
      <c r="F322" s="1">
        <v>71</v>
      </c>
      <c r="G322" s="1">
        <v>98</v>
      </c>
      <c r="H322" s="1">
        <v>55</v>
      </c>
      <c r="I322" s="1">
        <v>34</v>
      </c>
    </row>
    <row r="323" spans="1:9" x14ac:dyDescent="0.25">
      <c r="A323" s="2" t="s">
        <v>102</v>
      </c>
      <c r="B323" s="2" t="s">
        <v>10</v>
      </c>
      <c r="C323" s="2" t="s">
        <v>13</v>
      </c>
      <c r="D323" s="2" t="s">
        <v>12</v>
      </c>
      <c r="E323" s="2">
        <v>19</v>
      </c>
      <c r="F323" s="2">
        <v>31</v>
      </c>
      <c r="G323" s="2">
        <v>65</v>
      </c>
      <c r="H323" s="2">
        <v>18</v>
      </c>
      <c r="I323" s="2">
        <v>59</v>
      </c>
    </row>
    <row r="324" spans="1:9" x14ac:dyDescent="0.25">
      <c r="A324" s="1" t="s">
        <v>102</v>
      </c>
      <c r="B324" s="1" t="s">
        <v>10</v>
      </c>
      <c r="C324" s="1" t="s">
        <v>14</v>
      </c>
      <c r="D324" s="1" t="s">
        <v>12</v>
      </c>
      <c r="E324" s="1">
        <v>60</v>
      </c>
      <c r="F324" s="1">
        <v>76</v>
      </c>
      <c r="G324" s="1">
        <v>52</v>
      </c>
      <c r="H324" s="1">
        <v>51</v>
      </c>
      <c r="I324" s="1">
        <v>96</v>
      </c>
    </row>
    <row r="325" spans="1:9" x14ac:dyDescent="0.25">
      <c r="A325" s="2" t="s">
        <v>102</v>
      </c>
      <c r="B325" s="2" t="s">
        <v>10</v>
      </c>
      <c r="C325" s="2" t="s">
        <v>15</v>
      </c>
      <c r="D325" s="2" t="s">
        <v>12</v>
      </c>
      <c r="E325" s="2">
        <v>87</v>
      </c>
      <c r="F325" s="2">
        <v>38</v>
      </c>
      <c r="G325" s="2">
        <v>13</v>
      </c>
      <c r="H325" s="2">
        <v>91</v>
      </c>
      <c r="I325" s="2">
        <v>73</v>
      </c>
    </row>
    <row r="326" spans="1:9" x14ac:dyDescent="0.25">
      <c r="A326" s="1" t="s">
        <v>102</v>
      </c>
      <c r="B326" s="1" t="s">
        <v>10</v>
      </c>
      <c r="C326" s="1" t="s">
        <v>16</v>
      </c>
      <c r="D326" s="1" t="s">
        <v>12</v>
      </c>
      <c r="E326" s="1">
        <v>17</v>
      </c>
      <c r="F326" s="1">
        <v>16</v>
      </c>
      <c r="G326" s="1">
        <v>89</v>
      </c>
      <c r="H326" s="1">
        <v>85</v>
      </c>
      <c r="I326" s="1">
        <v>21</v>
      </c>
    </row>
    <row r="327" spans="1:9" x14ac:dyDescent="0.25">
      <c r="A327" s="2" t="s">
        <v>102</v>
      </c>
      <c r="B327" s="2" t="s">
        <v>10</v>
      </c>
      <c r="C327" s="2" t="s">
        <v>17</v>
      </c>
      <c r="D327" s="2" t="s">
        <v>12</v>
      </c>
      <c r="E327" s="2">
        <v>48</v>
      </c>
      <c r="F327" s="2">
        <v>60</v>
      </c>
      <c r="G327" s="2">
        <v>72</v>
      </c>
      <c r="H327" s="2">
        <v>34</v>
      </c>
      <c r="I327" s="2">
        <v>57</v>
      </c>
    </row>
    <row r="328" spans="1:9" x14ac:dyDescent="0.25">
      <c r="A328" s="1" t="s">
        <v>102</v>
      </c>
      <c r="B328" s="1" t="s">
        <v>10</v>
      </c>
      <c r="C328" s="1" t="s">
        <v>18</v>
      </c>
      <c r="D328" s="1" t="s">
        <v>12</v>
      </c>
      <c r="E328" s="1">
        <v>50</v>
      </c>
      <c r="F328" s="1">
        <v>43</v>
      </c>
      <c r="G328" s="1">
        <v>91</v>
      </c>
      <c r="H328" s="1">
        <v>15</v>
      </c>
      <c r="I328" s="1">
        <v>35</v>
      </c>
    </row>
    <row r="329" spans="1:9" x14ac:dyDescent="0.25">
      <c r="A329" s="2" t="s">
        <v>102</v>
      </c>
      <c r="B329" s="2" t="s">
        <v>10</v>
      </c>
      <c r="C329" s="2" t="s">
        <v>19</v>
      </c>
      <c r="D329" s="2" t="s">
        <v>12</v>
      </c>
      <c r="E329" s="2">
        <v>37</v>
      </c>
      <c r="F329" s="2">
        <v>11</v>
      </c>
      <c r="G329" s="2">
        <v>34</v>
      </c>
      <c r="H329" s="2">
        <v>86</v>
      </c>
      <c r="I329" s="2">
        <v>10</v>
      </c>
    </row>
    <row r="330" spans="1:9" x14ac:dyDescent="0.25">
      <c r="A330" s="1" t="s">
        <v>102</v>
      </c>
      <c r="B330" s="1" t="s">
        <v>10</v>
      </c>
      <c r="C330" s="1" t="s">
        <v>20</v>
      </c>
      <c r="D330" s="1" t="s">
        <v>12</v>
      </c>
      <c r="E330" s="1">
        <v>86</v>
      </c>
      <c r="F330" s="1">
        <v>21</v>
      </c>
      <c r="G330" s="1">
        <v>43</v>
      </c>
      <c r="H330" s="1">
        <v>89</v>
      </c>
      <c r="I330" s="1">
        <v>100</v>
      </c>
    </row>
    <row r="331" spans="1:9" x14ac:dyDescent="0.25">
      <c r="A331" s="2" t="s">
        <v>102</v>
      </c>
      <c r="B331" s="2" t="s">
        <v>10</v>
      </c>
      <c r="C331" s="2" t="s">
        <v>21</v>
      </c>
      <c r="D331" s="2" t="s">
        <v>12</v>
      </c>
      <c r="E331" s="2">
        <v>65</v>
      </c>
      <c r="F331" s="2">
        <v>23</v>
      </c>
      <c r="G331" s="2">
        <v>71</v>
      </c>
      <c r="H331" s="2">
        <v>51</v>
      </c>
      <c r="I331" s="2">
        <v>31</v>
      </c>
    </row>
    <row r="332" spans="1:9" x14ac:dyDescent="0.25">
      <c r="A332" s="1" t="s">
        <v>102</v>
      </c>
      <c r="B332" s="1" t="s">
        <v>22</v>
      </c>
      <c r="C332" s="1" t="s">
        <v>23</v>
      </c>
      <c r="D332" s="1" t="s">
        <v>12</v>
      </c>
      <c r="E332" s="1">
        <v>11</v>
      </c>
      <c r="F332" s="1">
        <v>42</v>
      </c>
      <c r="G332" s="1">
        <v>25</v>
      </c>
      <c r="H332" s="1">
        <v>74</v>
      </c>
      <c r="I332" s="1">
        <v>19</v>
      </c>
    </row>
    <row r="333" spans="1:9" x14ac:dyDescent="0.25">
      <c r="A333" s="2" t="s">
        <v>102</v>
      </c>
      <c r="B333" s="2" t="s">
        <v>22</v>
      </c>
      <c r="C333" s="2" t="s">
        <v>24</v>
      </c>
      <c r="D333" s="2" t="s">
        <v>12</v>
      </c>
      <c r="E333" s="2">
        <v>94</v>
      </c>
      <c r="F333" s="2">
        <v>40</v>
      </c>
      <c r="G333" s="2">
        <v>47</v>
      </c>
      <c r="H333" s="2">
        <v>70</v>
      </c>
      <c r="I333" s="2">
        <v>33</v>
      </c>
    </row>
    <row r="334" spans="1:9" x14ac:dyDescent="0.25">
      <c r="A334" s="1" t="s">
        <v>102</v>
      </c>
      <c r="B334" s="1" t="s">
        <v>22</v>
      </c>
      <c r="C334" s="1" t="s">
        <v>25</v>
      </c>
      <c r="D334" s="1" t="s">
        <v>12</v>
      </c>
      <c r="E334" s="1">
        <v>32</v>
      </c>
      <c r="F334" s="1">
        <v>27</v>
      </c>
      <c r="G334" s="1">
        <v>27</v>
      </c>
      <c r="H334" s="1">
        <v>21</v>
      </c>
      <c r="I334" s="1">
        <v>28</v>
      </c>
    </row>
    <row r="335" spans="1:9" x14ac:dyDescent="0.25">
      <c r="A335" s="2" t="s">
        <v>102</v>
      </c>
      <c r="B335" s="2" t="s">
        <v>22</v>
      </c>
      <c r="C335" s="2" t="s">
        <v>26</v>
      </c>
      <c r="D335" s="2" t="s">
        <v>12</v>
      </c>
      <c r="E335" s="2">
        <v>26</v>
      </c>
      <c r="F335" s="2">
        <v>84</v>
      </c>
      <c r="G335" s="2">
        <v>18</v>
      </c>
      <c r="H335" s="2">
        <v>71</v>
      </c>
      <c r="I335" s="2">
        <v>77</v>
      </c>
    </row>
    <row r="336" spans="1:9" x14ac:dyDescent="0.25">
      <c r="A336" s="1" t="s">
        <v>102</v>
      </c>
      <c r="B336" s="1" t="s">
        <v>22</v>
      </c>
      <c r="C336" s="1" t="s">
        <v>27</v>
      </c>
      <c r="D336" s="1" t="s">
        <v>12</v>
      </c>
      <c r="E336" s="1">
        <v>32</v>
      </c>
      <c r="F336" s="1">
        <v>17</v>
      </c>
      <c r="G336" s="1">
        <v>50</v>
      </c>
      <c r="H336" s="1">
        <v>63</v>
      </c>
      <c r="I336" s="1">
        <v>84</v>
      </c>
    </row>
    <row r="337" spans="1:9" x14ac:dyDescent="0.25">
      <c r="A337" s="2" t="s">
        <v>102</v>
      </c>
      <c r="B337" s="2" t="s">
        <v>22</v>
      </c>
      <c r="C337" s="2" t="s">
        <v>28</v>
      </c>
      <c r="D337" s="2" t="s">
        <v>12</v>
      </c>
      <c r="E337" s="2">
        <v>71</v>
      </c>
      <c r="F337" s="2">
        <v>49</v>
      </c>
      <c r="G337" s="2">
        <v>88</v>
      </c>
      <c r="H337" s="2">
        <v>83</v>
      </c>
      <c r="I337" s="2">
        <v>99</v>
      </c>
    </row>
    <row r="338" spans="1:9" x14ac:dyDescent="0.25">
      <c r="A338" s="1" t="s">
        <v>102</v>
      </c>
      <c r="B338" s="1" t="s">
        <v>22</v>
      </c>
      <c r="C338" s="1" t="s">
        <v>29</v>
      </c>
      <c r="D338" s="1" t="s">
        <v>12</v>
      </c>
      <c r="E338" s="1">
        <v>50</v>
      </c>
      <c r="F338" s="1">
        <v>92</v>
      </c>
      <c r="G338" s="1">
        <v>23</v>
      </c>
      <c r="H338" s="1">
        <v>100</v>
      </c>
      <c r="I338" s="1">
        <v>26</v>
      </c>
    </row>
    <row r="339" spans="1:9" x14ac:dyDescent="0.25">
      <c r="A339" s="2" t="s">
        <v>102</v>
      </c>
      <c r="B339" s="2" t="s">
        <v>22</v>
      </c>
      <c r="C339" s="2" t="s">
        <v>30</v>
      </c>
      <c r="D339" s="2" t="s">
        <v>12</v>
      </c>
      <c r="E339" s="2">
        <v>18</v>
      </c>
      <c r="F339" s="2">
        <v>71</v>
      </c>
      <c r="G339" s="2">
        <v>40</v>
      </c>
      <c r="H339" s="2">
        <v>87</v>
      </c>
      <c r="I339" s="2">
        <v>75</v>
      </c>
    </row>
    <row r="340" spans="1:9" x14ac:dyDescent="0.25">
      <c r="A340" s="1" t="s">
        <v>102</v>
      </c>
      <c r="B340" s="1" t="s">
        <v>22</v>
      </c>
      <c r="C340" s="1" t="s">
        <v>31</v>
      </c>
      <c r="D340" s="1" t="s">
        <v>12</v>
      </c>
      <c r="E340" s="1">
        <v>55</v>
      </c>
      <c r="F340" s="1">
        <v>52</v>
      </c>
      <c r="G340" s="1">
        <v>80</v>
      </c>
      <c r="H340" s="1">
        <v>32</v>
      </c>
      <c r="I340" s="1">
        <v>46</v>
      </c>
    </row>
    <row r="341" spans="1:9" x14ac:dyDescent="0.25">
      <c r="A341" s="2" t="s">
        <v>102</v>
      </c>
      <c r="B341" s="2" t="s">
        <v>22</v>
      </c>
      <c r="C341" s="2" t="s">
        <v>32</v>
      </c>
      <c r="D341" s="2" t="s">
        <v>12</v>
      </c>
      <c r="E341" s="2">
        <v>43</v>
      </c>
      <c r="F341" s="2">
        <v>27</v>
      </c>
      <c r="G341" s="2">
        <v>48</v>
      </c>
      <c r="H341" s="2">
        <v>20</v>
      </c>
      <c r="I341" s="2">
        <v>45</v>
      </c>
    </row>
    <row r="342" spans="1:9" x14ac:dyDescent="0.25">
      <c r="A342" s="1" t="s">
        <v>102</v>
      </c>
      <c r="B342" s="1" t="s">
        <v>33</v>
      </c>
      <c r="C342" s="1" t="s">
        <v>34</v>
      </c>
      <c r="D342" s="1" t="s">
        <v>12</v>
      </c>
      <c r="E342" s="1">
        <v>77</v>
      </c>
      <c r="F342" s="1">
        <v>36</v>
      </c>
      <c r="G342" s="1">
        <v>18</v>
      </c>
      <c r="H342" s="1">
        <v>37</v>
      </c>
      <c r="I342" s="1">
        <v>30</v>
      </c>
    </row>
    <row r="343" spans="1:9" x14ac:dyDescent="0.25">
      <c r="A343" s="2" t="s">
        <v>102</v>
      </c>
      <c r="B343" s="2" t="s">
        <v>33</v>
      </c>
      <c r="C343" s="2" t="s">
        <v>35</v>
      </c>
      <c r="D343" s="2" t="s">
        <v>12</v>
      </c>
      <c r="E343" s="2">
        <v>92</v>
      </c>
      <c r="F343" s="2">
        <v>73</v>
      </c>
      <c r="G343" s="2">
        <v>68</v>
      </c>
      <c r="H343" s="2">
        <v>26</v>
      </c>
      <c r="I343" s="2">
        <v>65</v>
      </c>
    </row>
    <row r="344" spans="1:9" x14ac:dyDescent="0.25">
      <c r="A344" s="1" t="s">
        <v>102</v>
      </c>
      <c r="B344" s="1" t="s">
        <v>33</v>
      </c>
      <c r="C344" s="1" t="s">
        <v>36</v>
      </c>
      <c r="D344" s="1" t="s">
        <v>12</v>
      </c>
      <c r="E344" s="1">
        <v>14</v>
      </c>
      <c r="F344" s="1">
        <v>61</v>
      </c>
      <c r="G344" s="1">
        <v>44</v>
      </c>
      <c r="H344" s="1">
        <v>10</v>
      </c>
      <c r="I344" s="1">
        <v>97</v>
      </c>
    </row>
    <row r="345" spans="1:9" x14ac:dyDescent="0.25">
      <c r="A345" s="2" t="s">
        <v>102</v>
      </c>
      <c r="B345" s="2" t="s">
        <v>33</v>
      </c>
      <c r="C345" s="2" t="s">
        <v>37</v>
      </c>
      <c r="D345" s="2" t="s">
        <v>12</v>
      </c>
      <c r="E345" s="2">
        <v>25</v>
      </c>
      <c r="F345" s="2">
        <v>56</v>
      </c>
      <c r="G345" s="2">
        <v>79</v>
      </c>
      <c r="H345" s="2">
        <v>32</v>
      </c>
      <c r="I345" s="2">
        <v>19</v>
      </c>
    </row>
    <row r="346" spans="1:9" x14ac:dyDescent="0.25">
      <c r="A346" s="1" t="s">
        <v>102</v>
      </c>
      <c r="B346" s="1" t="s">
        <v>33</v>
      </c>
      <c r="C346" s="1" t="s">
        <v>38</v>
      </c>
      <c r="D346" s="1" t="s">
        <v>12</v>
      </c>
      <c r="E346" s="1">
        <v>34</v>
      </c>
      <c r="F346" s="1">
        <v>87</v>
      </c>
      <c r="G346" s="1">
        <v>88</v>
      </c>
      <c r="H346" s="1">
        <v>40</v>
      </c>
      <c r="I346" s="1">
        <v>20</v>
      </c>
    </row>
    <row r="347" spans="1:9" x14ac:dyDescent="0.25">
      <c r="A347" s="2" t="s">
        <v>102</v>
      </c>
      <c r="B347" s="2" t="s">
        <v>33</v>
      </c>
      <c r="C347" s="2" t="s">
        <v>39</v>
      </c>
      <c r="D347" s="2" t="s">
        <v>12</v>
      </c>
      <c r="E347" s="2">
        <v>17</v>
      </c>
      <c r="F347" s="2">
        <v>20</v>
      </c>
      <c r="G347" s="2">
        <v>89</v>
      </c>
      <c r="H347" s="2">
        <v>48</v>
      </c>
      <c r="I347" s="2">
        <v>98</v>
      </c>
    </row>
    <row r="348" spans="1:9" x14ac:dyDescent="0.25">
      <c r="A348" s="1" t="s">
        <v>102</v>
      </c>
      <c r="B348" s="1" t="s">
        <v>33</v>
      </c>
      <c r="C348" s="1" t="s">
        <v>40</v>
      </c>
      <c r="D348" s="1" t="s">
        <v>12</v>
      </c>
      <c r="E348" s="1">
        <v>72</v>
      </c>
      <c r="F348" s="1">
        <v>80</v>
      </c>
      <c r="G348" s="1">
        <v>55</v>
      </c>
      <c r="H348" s="1">
        <v>100</v>
      </c>
      <c r="I348" s="1">
        <v>32</v>
      </c>
    </row>
    <row r="349" spans="1:9" x14ac:dyDescent="0.25">
      <c r="A349" s="2" t="s">
        <v>102</v>
      </c>
      <c r="B349" s="2" t="s">
        <v>33</v>
      </c>
      <c r="C349" s="2" t="s">
        <v>41</v>
      </c>
      <c r="D349" s="2" t="s">
        <v>12</v>
      </c>
      <c r="E349" s="2">
        <v>74</v>
      </c>
      <c r="F349" s="2">
        <v>81</v>
      </c>
      <c r="G349" s="2">
        <v>84</v>
      </c>
      <c r="H349" s="2">
        <v>52</v>
      </c>
      <c r="I349" s="2">
        <v>81</v>
      </c>
    </row>
    <row r="350" spans="1:9" x14ac:dyDescent="0.25">
      <c r="A350" s="1" t="s">
        <v>102</v>
      </c>
      <c r="B350" s="1" t="s">
        <v>33</v>
      </c>
      <c r="C350" s="1" t="s">
        <v>42</v>
      </c>
      <c r="D350" s="1" t="s">
        <v>12</v>
      </c>
      <c r="E350" s="1">
        <v>56</v>
      </c>
      <c r="F350" s="1">
        <v>87</v>
      </c>
      <c r="G350" s="1">
        <v>94</v>
      </c>
      <c r="H350" s="1">
        <v>46</v>
      </c>
      <c r="I350" s="1">
        <v>38</v>
      </c>
    </row>
    <row r="351" spans="1:9" x14ac:dyDescent="0.25">
      <c r="A351" s="2" t="s">
        <v>102</v>
      </c>
      <c r="B351" s="2" t="s">
        <v>33</v>
      </c>
      <c r="C351" s="2" t="s">
        <v>43</v>
      </c>
      <c r="D351" s="2" t="s">
        <v>12</v>
      </c>
      <c r="E351" s="2">
        <v>65</v>
      </c>
      <c r="F351" s="2">
        <v>92</v>
      </c>
      <c r="G351" s="2">
        <v>10</v>
      </c>
      <c r="H351" s="2">
        <v>30</v>
      </c>
      <c r="I351" s="2">
        <v>29</v>
      </c>
    </row>
    <row r="352" spans="1:9" x14ac:dyDescent="0.25">
      <c r="A352" s="1" t="s">
        <v>102</v>
      </c>
      <c r="B352" s="1" t="s">
        <v>44</v>
      </c>
      <c r="C352" s="1" t="s">
        <v>45</v>
      </c>
      <c r="D352" s="1" t="s">
        <v>12</v>
      </c>
      <c r="E352" s="1">
        <v>46</v>
      </c>
      <c r="F352" s="1">
        <v>67</v>
      </c>
      <c r="G352" s="1">
        <v>93</v>
      </c>
      <c r="H352" s="1">
        <v>73</v>
      </c>
      <c r="I352" s="1">
        <v>97</v>
      </c>
    </row>
    <row r="353" spans="1:9" x14ac:dyDescent="0.25">
      <c r="A353" s="2" t="s">
        <v>102</v>
      </c>
      <c r="B353" s="2" t="s">
        <v>44</v>
      </c>
      <c r="C353" s="2" t="s">
        <v>46</v>
      </c>
      <c r="D353" s="2" t="s">
        <v>12</v>
      </c>
      <c r="E353" s="2">
        <v>36</v>
      </c>
      <c r="F353" s="2">
        <v>36</v>
      </c>
      <c r="G353" s="2">
        <v>76</v>
      </c>
      <c r="H353" s="2">
        <v>94</v>
      </c>
      <c r="I353" s="2">
        <v>81</v>
      </c>
    </row>
    <row r="354" spans="1:9" x14ac:dyDescent="0.25">
      <c r="A354" s="1" t="s">
        <v>102</v>
      </c>
      <c r="B354" s="1" t="s">
        <v>44</v>
      </c>
      <c r="C354" s="1" t="s">
        <v>47</v>
      </c>
      <c r="D354" s="1" t="s">
        <v>12</v>
      </c>
      <c r="E354" s="1">
        <v>84</v>
      </c>
      <c r="F354" s="1">
        <v>89</v>
      </c>
      <c r="G354" s="1">
        <v>85</v>
      </c>
      <c r="H354" s="1">
        <v>54</v>
      </c>
      <c r="I354" s="1">
        <v>83</v>
      </c>
    </row>
    <row r="355" spans="1:9" x14ac:dyDescent="0.25">
      <c r="A355" s="2" t="s">
        <v>102</v>
      </c>
      <c r="B355" s="2" t="s">
        <v>44</v>
      </c>
      <c r="C355" s="2" t="s">
        <v>48</v>
      </c>
      <c r="D355" s="2" t="s">
        <v>12</v>
      </c>
      <c r="E355" s="2">
        <v>12</v>
      </c>
      <c r="F355" s="2">
        <v>16</v>
      </c>
      <c r="G355" s="2">
        <v>16</v>
      </c>
      <c r="H355" s="2">
        <v>45</v>
      </c>
      <c r="I355" s="2">
        <v>20</v>
      </c>
    </row>
    <row r="356" spans="1:9" x14ac:dyDescent="0.25">
      <c r="A356" s="1" t="s">
        <v>102</v>
      </c>
      <c r="B356" s="1" t="s">
        <v>44</v>
      </c>
      <c r="C356" s="1" t="s">
        <v>49</v>
      </c>
      <c r="D356" s="1" t="s">
        <v>12</v>
      </c>
      <c r="E356" s="1">
        <v>34</v>
      </c>
      <c r="F356" s="1">
        <v>42</v>
      </c>
      <c r="G356" s="1">
        <v>100</v>
      </c>
      <c r="H356" s="1">
        <v>48</v>
      </c>
      <c r="I356" s="1">
        <v>37</v>
      </c>
    </row>
    <row r="357" spans="1:9" x14ac:dyDescent="0.25">
      <c r="A357" s="2" t="s">
        <v>102</v>
      </c>
      <c r="B357" s="2" t="s">
        <v>44</v>
      </c>
      <c r="C357" s="2" t="s">
        <v>50</v>
      </c>
      <c r="D357" s="2" t="s">
        <v>12</v>
      </c>
      <c r="E357" s="2">
        <v>90</v>
      </c>
      <c r="F357" s="2">
        <v>24</v>
      </c>
      <c r="G357" s="2">
        <v>19</v>
      </c>
      <c r="H357" s="2">
        <v>26</v>
      </c>
      <c r="I357" s="2">
        <v>69</v>
      </c>
    </row>
    <row r="358" spans="1:9" x14ac:dyDescent="0.25">
      <c r="A358" s="1" t="s">
        <v>102</v>
      </c>
      <c r="B358" s="1" t="s">
        <v>44</v>
      </c>
      <c r="C358" s="1" t="s">
        <v>51</v>
      </c>
      <c r="D358" s="1" t="s">
        <v>12</v>
      </c>
      <c r="E358" s="1">
        <v>40</v>
      </c>
      <c r="F358" s="1">
        <v>23</v>
      </c>
      <c r="G358" s="1">
        <v>41</v>
      </c>
      <c r="H358" s="1">
        <v>11</v>
      </c>
      <c r="I358" s="1">
        <v>42</v>
      </c>
    </row>
    <row r="359" spans="1:9" x14ac:dyDescent="0.25">
      <c r="A359" s="2" t="s">
        <v>102</v>
      </c>
      <c r="B359" s="2" t="s">
        <v>44</v>
      </c>
      <c r="C359" s="2" t="s">
        <v>52</v>
      </c>
      <c r="D359" s="2" t="s">
        <v>12</v>
      </c>
      <c r="E359" s="2">
        <v>78</v>
      </c>
      <c r="F359" s="2">
        <v>50</v>
      </c>
      <c r="G359" s="2">
        <v>30</v>
      </c>
      <c r="H359" s="2">
        <v>70</v>
      </c>
      <c r="I359" s="2">
        <v>86</v>
      </c>
    </row>
    <row r="360" spans="1:9" x14ac:dyDescent="0.25">
      <c r="A360" s="1" t="s">
        <v>102</v>
      </c>
      <c r="B360" s="1" t="s">
        <v>44</v>
      </c>
      <c r="C360" s="1" t="s">
        <v>53</v>
      </c>
      <c r="D360" s="1" t="s">
        <v>12</v>
      </c>
      <c r="E360" s="1">
        <v>68</v>
      </c>
      <c r="F360" s="1">
        <v>10</v>
      </c>
      <c r="G360" s="1">
        <v>73</v>
      </c>
      <c r="H360" s="1">
        <v>82</v>
      </c>
      <c r="I360" s="1">
        <v>31</v>
      </c>
    </row>
    <row r="361" spans="1:9" x14ac:dyDescent="0.25">
      <c r="A361" s="2" t="s">
        <v>102</v>
      </c>
      <c r="B361" s="2" t="s">
        <v>44</v>
      </c>
      <c r="C361" s="2" t="s">
        <v>54</v>
      </c>
      <c r="D361" s="2" t="s">
        <v>12</v>
      </c>
      <c r="E361" s="2">
        <v>36</v>
      </c>
      <c r="F361" s="2">
        <v>23</v>
      </c>
      <c r="G361" s="2">
        <v>85</v>
      </c>
      <c r="H361" s="2">
        <v>77</v>
      </c>
      <c r="I361" s="2">
        <v>77</v>
      </c>
    </row>
    <row r="362" spans="1:9" x14ac:dyDescent="0.25">
      <c r="A362" s="1" t="s">
        <v>102</v>
      </c>
      <c r="B362" s="1" t="s">
        <v>55</v>
      </c>
      <c r="C362" s="1" t="s">
        <v>56</v>
      </c>
      <c r="D362" s="1" t="s">
        <v>12</v>
      </c>
      <c r="E362" s="1">
        <v>53</v>
      </c>
      <c r="F362" s="1">
        <v>72</v>
      </c>
      <c r="G362" s="1">
        <v>40</v>
      </c>
      <c r="H362" s="1">
        <v>13</v>
      </c>
      <c r="I362" s="1">
        <v>23</v>
      </c>
    </row>
    <row r="363" spans="1:9" x14ac:dyDescent="0.25">
      <c r="A363" s="2" t="s">
        <v>102</v>
      </c>
      <c r="B363" s="2" t="s">
        <v>55</v>
      </c>
      <c r="C363" s="2" t="s">
        <v>57</v>
      </c>
      <c r="D363" s="2" t="s">
        <v>12</v>
      </c>
      <c r="E363" s="2">
        <v>49</v>
      </c>
      <c r="F363" s="2">
        <v>97</v>
      </c>
      <c r="G363" s="2">
        <v>63</v>
      </c>
      <c r="H363" s="2">
        <v>21</v>
      </c>
      <c r="I363" s="2">
        <v>21</v>
      </c>
    </row>
    <row r="364" spans="1:9" x14ac:dyDescent="0.25">
      <c r="A364" s="1" t="s">
        <v>102</v>
      </c>
      <c r="B364" s="1" t="s">
        <v>55</v>
      </c>
      <c r="C364" s="1" t="s">
        <v>58</v>
      </c>
      <c r="D364" s="1" t="s">
        <v>12</v>
      </c>
      <c r="E364" s="1">
        <v>89</v>
      </c>
      <c r="F364" s="1">
        <v>90</v>
      </c>
      <c r="G364" s="1">
        <v>18</v>
      </c>
      <c r="H364" s="1">
        <v>31</v>
      </c>
      <c r="I364" s="1">
        <v>80</v>
      </c>
    </row>
    <row r="365" spans="1:9" x14ac:dyDescent="0.25">
      <c r="A365" s="2" t="s">
        <v>102</v>
      </c>
      <c r="B365" s="2" t="s">
        <v>55</v>
      </c>
      <c r="C365" s="2" t="s">
        <v>59</v>
      </c>
      <c r="D365" s="2" t="s">
        <v>12</v>
      </c>
      <c r="E365" s="2">
        <v>93</v>
      </c>
      <c r="F365" s="2">
        <v>34</v>
      </c>
      <c r="G365" s="2">
        <v>95</v>
      </c>
      <c r="H365" s="2">
        <v>76</v>
      </c>
      <c r="I365" s="2">
        <v>78</v>
      </c>
    </row>
    <row r="366" spans="1:9" x14ac:dyDescent="0.25">
      <c r="A366" s="1" t="s">
        <v>102</v>
      </c>
      <c r="B366" s="1" t="s">
        <v>55</v>
      </c>
      <c r="C366" s="1" t="s">
        <v>60</v>
      </c>
      <c r="D366" s="1" t="s">
        <v>12</v>
      </c>
      <c r="E366" s="1">
        <v>97</v>
      </c>
      <c r="F366" s="1">
        <v>46</v>
      </c>
      <c r="G366" s="1">
        <v>11</v>
      </c>
      <c r="H366" s="1">
        <v>26</v>
      </c>
      <c r="I366" s="1">
        <v>18</v>
      </c>
    </row>
    <row r="367" spans="1:9" x14ac:dyDescent="0.25">
      <c r="A367" s="2" t="s">
        <v>102</v>
      </c>
      <c r="B367" s="2" t="s">
        <v>55</v>
      </c>
      <c r="C367" s="2" t="s">
        <v>61</v>
      </c>
      <c r="D367" s="2" t="s">
        <v>12</v>
      </c>
      <c r="E367" s="2">
        <v>56</v>
      </c>
      <c r="F367" s="2">
        <v>75</v>
      </c>
      <c r="G367" s="2">
        <v>37</v>
      </c>
      <c r="H367" s="2">
        <v>72</v>
      </c>
      <c r="I367" s="2">
        <v>39</v>
      </c>
    </row>
    <row r="368" spans="1:9" x14ac:dyDescent="0.25">
      <c r="A368" s="1" t="s">
        <v>102</v>
      </c>
      <c r="B368" s="1" t="s">
        <v>55</v>
      </c>
      <c r="C368" s="1" t="s">
        <v>62</v>
      </c>
      <c r="D368" s="1" t="s">
        <v>12</v>
      </c>
      <c r="E368" s="1">
        <v>79</v>
      </c>
      <c r="F368" s="1">
        <v>43</v>
      </c>
      <c r="G368" s="1">
        <v>88</v>
      </c>
      <c r="H368" s="1">
        <v>22</v>
      </c>
      <c r="I368" s="1">
        <v>81</v>
      </c>
    </row>
    <row r="369" spans="1:9" x14ac:dyDescent="0.25">
      <c r="A369" s="2" t="s">
        <v>102</v>
      </c>
      <c r="B369" s="2" t="s">
        <v>55</v>
      </c>
      <c r="C369" s="2" t="s">
        <v>63</v>
      </c>
      <c r="D369" s="2" t="s">
        <v>12</v>
      </c>
      <c r="E369" s="2">
        <v>89</v>
      </c>
      <c r="F369" s="2">
        <v>70</v>
      </c>
      <c r="G369" s="2">
        <v>27</v>
      </c>
      <c r="H369" s="2">
        <v>77</v>
      </c>
      <c r="I369" s="2">
        <v>58</v>
      </c>
    </row>
    <row r="370" spans="1:9" x14ac:dyDescent="0.25">
      <c r="A370" s="1" t="s">
        <v>102</v>
      </c>
      <c r="B370" s="1" t="s">
        <v>55</v>
      </c>
      <c r="C370" s="1" t="s">
        <v>64</v>
      </c>
      <c r="D370" s="1" t="s">
        <v>12</v>
      </c>
      <c r="E370" s="1">
        <v>36</v>
      </c>
      <c r="F370" s="1">
        <v>85</v>
      </c>
      <c r="G370" s="1">
        <v>91</v>
      </c>
      <c r="H370" s="1">
        <v>59</v>
      </c>
      <c r="I370" s="1">
        <v>23</v>
      </c>
    </row>
    <row r="371" spans="1:9" x14ac:dyDescent="0.25">
      <c r="A371" s="2" t="s">
        <v>102</v>
      </c>
      <c r="B371" s="2" t="s">
        <v>55</v>
      </c>
      <c r="C371" s="2" t="s">
        <v>65</v>
      </c>
      <c r="D371" s="2" t="s">
        <v>12</v>
      </c>
      <c r="E371" s="2">
        <v>15</v>
      </c>
      <c r="F371" s="2">
        <v>41</v>
      </c>
      <c r="G371" s="2">
        <v>11</v>
      </c>
      <c r="H371" s="2">
        <v>41</v>
      </c>
      <c r="I371" s="2">
        <v>72</v>
      </c>
    </row>
    <row r="372" spans="1:9" x14ac:dyDescent="0.25">
      <c r="A372" s="1" t="s">
        <v>102</v>
      </c>
      <c r="B372" s="1" t="s">
        <v>66</v>
      </c>
      <c r="C372" s="1" t="s">
        <v>67</v>
      </c>
      <c r="D372" s="1" t="s">
        <v>12</v>
      </c>
      <c r="E372" s="1">
        <v>24</v>
      </c>
      <c r="F372" s="1">
        <v>50</v>
      </c>
      <c r="G372" s="1">
        <v>78</v>
      </c>
      <c r="H372" s="1">
        <v>71</v>
      </c>
      <c r="I372" s="1">
        <v>72</v>
      </c>
    </row>
    <row r="373" spans="1:9" x14ac:dyDescent="0.25">
      <c r="A373" s="2" t="s">
        <v>102</v>
      </c>
      <c r="B373" s="2" t="s">
        <v>66</v>
      </c>
      <c r="C373" s="2" t="s">
        <v>68</v>
      </c>
      <c r="D373" s="2" t="s">
        <v>12</v>
      </c>
      <c r="E373" s="2">
        <v>65</v>
      </c>
      <c r="F373" s="2">
        <v>65</v>
      </c>
      <c r="G373" s="2">
        <v>39</v>
      </c>
      <c r="H373" s="2">
        <v>46</v>
      </c>
      <c r="I373" s="2">
        <v>39</v>
      </c>
    </row>
    <row r="374" spans="1:9" x14ac:dyDescent="0.25">
      <c r="A374" s="1" t="s">
        <v>102</v>
      </c>
      <c r="B374" s="1" t="s">
        <v>66</v>
      </c>
      <c r="C374" s="1" t="s">
        <v>69</v>
      </c>
      <c r="D374" s="1" t="s">
        <v>12</v>
      </c>
      <c r="E374" s="1">
        <v>22</v>
      </c>
      <c r="F374" s="1">
        <v>51</v>
      </c>
      <c r="G374" s="1">
        <v>88</v>
      </c>
      <c r="H374" s="1">
        <v>30</v>
      </c>
      <c r="I374" s="1">
        <v>82</v>
      </c>
    </row>
    <row r="375" spans="1:9" x14ac:dyDescent="0.25">
      <c r="A375" s="2" t="s">
        <v>102</v>
      </c>
      <c r="B375" s="2" t="s">
        <v>66</v>
      </c>
      <c r="C375" s="2" t="s">
        <v>70</v>
      </c>
      <c r="D375" s="2" t="s">
        <v>12</v>
      </c>
      <c r="E375" s="2">
        <v>83</v>
      </c>
      <c r="F375" s="2">
        <v>60</v>
      </c>
      <c r="G375" s="2">
        <v>51</v>
      </c>
      <c r="H375" s="2">
        <v>49</v>
      </c>
      <c r="I375" s="2">
        <v>96</v>
      </c>
    </row>
    <row r="376" spans="1:9" x14ac:dyDescent="0.25">
      <c r="A376" s="1" t="s">
        <v>102</v>
      </c>
      <c r="B376" s="1" t="s">
        <v>66</v>
      </c>
      <c r="C376" s="1" t="s">
        <v>71</v>
      </c>
      <c r="D376" s="1" t="s">
        <v>12</v>
      </c>
      <c r="E376" s="1">
        <v>37</v>
      </c>
      <c r="F376" s="1">
        <v>10</v>
      </c>
      <c r="G376" s="1">
        <v>65</v>
      </c>
      <c r="H376" s="1">
        <v>97</v>
      </c>
      <c r="I376" s="1">
        <v>36</v>
      </c>
    </row>
    <row r="377" spans="1:9" x14ac:dyDescent="0.25">
      <c r="A377" s="2" t="s">
        <v>102</v>
      </c>
      <c r="B377" s="2" t="s">
        <v>66</v>
      </c>
      <c r="C377" s="2" t="s">
        <v>72</v>
      </c>
      <c r="D377" s="2" t="s">
        <v>12</v>
      </c>
      <c r="E377" s="2">
        <v>71</v>
      </c>
      <c r="F377" s="2">
        <v>16</v>
      </c>
      <c r="G377" s="2">
        <v>28</v>
      </c>
      <c r="H377" s="2">
        <v>21</v>
      </c>
      <c r="I377" s="2">
        <v>69</v>
      </c>
    </row>
    <row r="378" spans="1:9" x14ac:dyDescent="0.25">
      <c r="A378" s="1" t="s">
        <v>102</v>
      </c>
      <c r="B378" s="1" t="s">
        <v>66</v>
      </c>
      <c r="C378" s="1" t="s">
        <v>73</v>
      </c>
      <c r="D378" s="1" t="s">
        <v>12</v>
      </c>
      <c r="E378" s="1">
        <v>60</v>
      </c>
      <c r="F378" s="1">
        <v>97</v>
      </c>
      <c r="G378" s="1">
        <v>21</v>
      </c>
      <c r="H378" s="1">
        <v>41</v>
      </c>
      <c r="I378" s="1">
        <v>10</v>
      </c>
    </row>
    <row r="379" spans="1:9" x14ac:dyDescent="0.25">
      <c r="A379" s="2" t="s">
        <v>102</v>
      </c>
      <c r="B379" s="2" t="s">
        <v>66</v>
      </c>
      <c r="C379" s="2" t="s">
        <v>74</v>
      </c>
      <c r="D379" s="2" t="s">
        <v>12</v>
      </c>
      <c r="E379" s="2">
        <v>26</v>
      </c>
      <c r="F379" s="2">
        <v>10</v>
      </c>
      <c r="G379" s="2">
        <v>18</v>
      </c>
      <c r="H379" s="2">
        <v>75</v>
      </c>
      <c r="I379" s="2">
        <v>72</v>
      </c>
    </row>
    <row r="380" spans="1:9" x14ac:dyDescent="0.25">
      <c r="A380" s="1" t="s">
        <v>102</v>
      </c>
      <c r="B380" s="1" t="s">
        <v>66</v>
      </c>
      <c r="C380" s="1" t="s">
        <v>75</v>
      </c>
      <c r="D380" s="1" t="s">
        <v>12</v>
      </c>
      <c r="E380" s="1">
        <v>81</v>
      </c>
      <c r="F380" s="1">
        <v>95</v>
      </c>
      <c r="G380" s="1">
        <v>31</v>
      </c>
      <c r="H380" s="1">
        <v>36</v>
      </c>
      <c r="I380" s="1">
        <v>58</v>
      </c>
    </row>
    <row r="381" spans="1:9" x14ac:dyDescent="0.25">
      <c r="A381" s="2" t="s">
        <v>102</v>
      </c>
      <c r="B381" s="2" t="s">
        <v>66</v>
      </c>
      <c r="C381" s="2" t="s">
        <v>76</v>
      </c>
      <c r="D381" s="2" t="s">
        <v>12</v>
      </c>
      <c r="E381" s="2">
        <v>26</v>
      </c>
      <c r="F381" s="2">
        <v>71</v>
      </c>
      <c r="G381" s="2">
        <v>58</v>
      </c>
      <c r="H381" s="2">
        <v>23</v>
      </c>
      <c r="I381" s="2">
        <v>13</v>
      </c>
    </row>
    <row r="382" spans="1:9" x14ac:dyDescent="0.25">
      <c r="A382" s="1" t="s">
        <v>102</v>
      </c>
      <c r="B382" s="1" t="s">
        <v>77</v>
      </c>
      <c r="C382" s="1" t="s">
        <v>78</v>
      </c>
      <c r="D382" s="1" t="s">
        <v>12</v>
      </c>
      <c r="E382" s="1">
        <v>61</v>
      </c>
      <c r="F382" s="1">
        <v>22</v>
      </c>
      <c r="G382" s="1">
        <v>84</v>
      </c>
      <c r="H382" s="1">
        <v>60</v>
      </c>
      <c r="I382" s="1">
        <v>10</v>
      </c>
    </row>
    <row r="383" spans="1:9" x14ac:dyDescent="0.25">
      <c r="A383" s="2" t="s">
        <v>102</v>
      </c>
      <c r="B383" s="2" t="s">
        <v>77</v>
      </c>
      <c r="C383" s="2" t="s">
        <v>79</v>
      </c>
      <c r="D383" s="2" t="s">
        <v>12</v>
      </c>
      <c r="E383" s="2">
        <v>96</v>
      </c>
      <c r="F383" s="2">
        <v>56</v>
      </c>
      <c r="G383" s="2">
        <v>96</v>
      </c>
      <c r="H383" s="2">
        <v>32</v>
      </c>
      <c r="I383" s="2">
        <v>19</v>
      </c>
    </row>
    <row r="384" spans="1:9" x14ac:dyDescent="0.25">
      <c r="A384" s="1" t="s">
        <v>102</v>
      </c>
      <c r="B384" s="1" t="s">
        <v>77</v>
      </c>
      <c r="C384" s="1" t="s">
        <v>80</v>
      </c>
      <c r="D384" s="1" t="s">
        <v>12</v>
      </c>
      <c r="E384" s="1">
        <v>45</v>
      </c>
      <c r="F384" s="1">
        <v>56</v>
      </c>
      <c r="G384" s="1">
        <v>20</v>
      </c>
      <c r="H384" s="1">
        <v>12</v>
      </c>
      <c r="I384" s="1">
        <v>98</v>
      </c>
    </row>
    <row r="385" spans="1:9" x14ac:dyDescent="0.25">
      <c r="A385" s="2" t="s">
        <v>102</v>
      </c>
      <c r="B385" s="2" t="s">
        <v>77</v>
      </c>
      <c r="C385" s="2" t="s">
        <v>81</v>
      </c>
      <c r="D385" s="2" t="s">
        <v>12</v>
      </c>
      <c r="E385" s="2">
        <v>14</v>
      </c>
      <c r="F385" s="2">
        <v>45</v>
      </c>
      <c r="G385" s="2">
        <v>66</v>
      </c>
      <c r="H385" s="2">
        <v>86</v>
      </c>
      <c r="I385" s="2">
        <v>91</v>
      </c>
    </row>
    <row r="386" spans="1:9" x14ac:dyDescent="0.25">
      <c r="A386" s="1" t="s">
        <v>102</v>
      </c>
      <c r="B386" s="1" t="s">
        <v>77</v>
      </c>
      <c r="C386" s="1" t="s">
        <v>82</v>
      </c>
      <c r="D386" s="1" t="s">
        <v>12</v>
      </c>
      <c r="E386" s="1">
        <v>93</v>
      </c>
      <c r="F386" s="1">
        <v>74</v>
      </c>
      <c r="G386" s="1">
        <v>99</v>
      </c>
      <c r="H386" s="1">
        <v>20</v>
      </c>
      <c r="I386" s="1">
        <v>86</v>
      </c>
    </row>
    <row r="387" spans="1:9" x14ac:dyDescent="0.25">
      <c r="A387" s="2" t="s">
        <v>102</v>
      </c>
      <c r="B387" s="2" t="s">
        <v>77</v>
      </c>
      <c r="C387" s="2" t="s">
        <v>83</v>
      </c>
      <c r="D387" s="2" t="s">
        <v>12</v>
      </c>
      <c r="E387" s="2">
        <v>13</v>
      </c>
      <c r="F387" s="2">
        <v>73</v>
      </c>
      <c r="G387" s="2">
        <v>18</v>
      </c>
      <c r="H387" s="2">
        <v>12</v>
      </c>
      <c r="I387" s="2">
        <v>90</v>
      </c>
    </row>
    <row r="388" spans="1:9" x14ac:dyDescent="0.25">
      <c r="A388" s="1" t="s">
        <v>102</v>
      </c>
      <c r="B388" s="1" t="s">
        <v>77</v>
      </c>
      <c r="C388" s="1" t="s">
        <v>84</v>
      </c>
      <c r="D388" s="1" t="s">
        <v>12</v>
      </c>
      <c r="E388" s="1">
        <v>12</v>
      </c>
      <c r="F388" s="1">
        <v>22</v>
      </c>
      <c r="G388" s="1">
        <v>15</v>
      </c>
      <c r="H388" s="1">
        <v>72</v>
      </c>
      <c r="I388" s="1">
        <v>55</v>
      </c>
    </row>
    <row r="389" spans="1:9" x14ac:dyDescent="0.25">
      <c r="A389" s="2" t="s">
        <v>102</v>
      </c>
      <c r="B389" s="2" t="s">
        <v>77</v>
      </c>
      <c r="C389" s="2" t="s">
        <v>85</v>
      </c>
      <c r="D389" s="2" t="s">
        <v>12</v>
      </c>
      <c r="E389" s="2">
        <v>17</v>
      </c>
      <c r="F389" s="2">
        <v>17</v>
      </c>
      <c r="G389" s="2">
        <v>47</v>
      </c>
      <c r="H389" s="2">
        <v>54</v>
      </c>
      <c r="I389" s="2">
        <v>78</v>
      </c>
    </row>
    <row r="390" spans="1:9" x14ac:dyDescent="0.25">
      <c r="A390" s="1" t="s">
        <v>102</v>
      </c>
      <c r="B390" s="1" t="s">
        <v>77</v>
      </c>
      <c r="C390" s="1" t="s">
        <v>86</v>
      </c>
      <c r="D390" s="1" t="s">
        <v>12</v>
      </c>
      <c r="E390" s="1">
        <v>81</v>
      </c>
      <c r="F390" s="1">
        <v>34</v>
      </c>
      <c r="G390" s="1">
        <v>20</v>
      </c>
      <c r="H390" s="1">
        <v>27</v>
      </c>
      <c r="I390" s="1">
        <v>64</v>
      </c>
    </row>
    <row r="391" spans="1:9" x14ac:dyDescent="0.25">
      <c r="A391" s="2" t="s">
        <v>102</v>
      </c>
      <c r="B391" s="2" t="s">
        <v>77</v>
      </c>
      <c r="C391" s="2" t="s">
        <v>87</v>
      </c>
      <c r="D391" s="2" t="s">
        <v>12</v>
      </c>
      <c r="E391" s="2">
        <v>88</v>
      </c>
      <c r="F391" s="2">
        <v>91</v>
      </c>
      <c r="G391" s="2">
        <v>94</v>
      </c>
      <c r="H391" s="2">
        <v>66</v>
      </c>
      <c r="I391" s="2">
        <v>97</v>
      </c>
    </row>
    <row r="392" spans="1:9" x14ac:dyDescent="0.25">
      <c r="A392" s="1" t="s">
        <v>102</v>
      </c>
      <c r="B392" s="1" t="s">
        <v>88</v>
      </c>
      <c r="C392" s="1" t="s">
        <v>89</v>
      </c>
      <c r="D392" s="1" t="s">
        <v>12</v>
      </c>
      <c r="E392" s="1">
        <v>21</v>
      </c>
      <c r="F392" s="1">
        <v>21</v>
      </c>
      <c r="G392" s="1">
        <v>39</v>
      </c>
      <c r="H392" s="1">
        <v>17</v>
      </c>
      <c r="I392" s="1">
        <v>77</v>
      </c>
    </row>
    <row r="393" spans="1:9" x14ac:dyDescent="0.25">
      <c r="A393" s="2" t="s">
        <v>102</v>
      </c>
      <c r="B393" s="2" t="s">
        <v>88</v>
      </c>
      <c r="C393" s="2" t="s">
        <v>90</v>
      </c>
      <c r="D393" s="2" t="s">
        <v>12</v>
      </c>
      <c r="E393" s="2">
        <v>78</v>
      </c>
      <c r="F393" s="2">
        <v>83</v>
      </c>
      <c r="G393" s="2">
        <v>47</v>
      </c>
      <c r="H393" s="2">
        <v>62</v>
      </c>
      <c r="I393" s="2">
        <v>49</v>
      </c>
    </row>
    <row r="394" spans="1:9" x14ac:dyDescent="0.25">
      <c r="A394" s="1" t="s">
        <v>102</v>
      </c>
      <c r="B394" s="1" t="s">
        <v>88</v>
      </c>
      <c r="C394" s="1" t="s">
        <v>91</v>
      </c>
      <c r="D394" s="1" t="s">
        <v>12</v>
      </c>
      <c r="E394" s="1">
        <v>21</v>
      </c>
      <c r="F394" s="1">
        <v>34</v>
      </c>
      <c r="G394" s="1">
        <v>56</v>
      </c>
      <c r="H394" s="1">
        <v>79</v>
      </c>
      <c r="I394" s="1">
        <v>24</v>
      </c>
    </row>
    <row r="395" spans="1:9" x14ac:dyDescent="0.25">
      <c r="A395" s="2" t="s">
        <v>102</v>
      </c>
      <c r="B395" s="2" t="s">
        <v>88</v>
      </c>
      <c r="C395" s="2" t="s">
        <v>92</v>
      </c>
      <c r="D395" s="2" t="s">
        <v>12</v>
      </c>
      <c r="E395" s="2">
        <v>64</v>
      </c>
      <c r="F395" s="2">
        <v>41</v>
      </c>
      <c r="G395" s="2">
        <v>35</v>
      </c>
      <c r="H395" s="2">
        <v>24</v>
      </c>
      <c r="I395" s="2">
        <v>42</v>
      </c>
    </row>
    <row r="396" spans="1:9" x14ac:dyDescent="0.25">
      <c r="A396" s="1" t="s">
        <v>102</v>
      </c>
      <c r="B396" s="1" t="s">
        <v>88</v>
      </c>
      <c r="C396" s="1" t="s">
        <v>93</v>
      </c>
      <c r="D396" s="1" t="s">
        <v>12</v>
      </c>
      <c r="E396" s="1">
        <v>50</v>
      </c>
      <c r="F396" s="1">
        <v>50</v>
      </c>
      <c r="G396" s="1">
        <v>96</v>
      </c>
      <c r="H396" s="1">
        <v>94</v>
      </c>
      <c r="I396" s="1">
        <v>28</v>
      </c>
    </row>
    <row r="397" spans="1:9" x14ac:dyDescent="0.25">
      <c r="A397" s="2" t="s">
        <v>102</v>
      </c>
      <c r="B397" s="2" t="s">
        <v>88</v>
      </c>
      <c r="C397" s="2" t="s">
        <v>94</v>
      </c>
      <c r="D397" s="2" t="s">
        <v>12</v>
      </c>
      <c r="E397" s="2">
        <v>71</v>
      </c>
      <c r="F397" s="2">
        <v>88</v>
      </c>
      <c r="G397" s="2">
        <v>41</v>
      </c>
      <c r="H397" s="2">
        <v>32</v>
      </c>
      <c r="I397" s="2">
        <v>54</v>
      </c>
    </row>
    <row r="398" spans="1:9" x14ac:dyDescent="0.25">
      <c r="A398" s="1" t="s">
        <v>102</v>
      </c>
      <c r="B398" s="1" t="s">
        <v>88</v>
      </c>
      <c r="C398" s="1" t="s">
        <v>95</v>
      </c>
      <c r="D398" s="1" t="s">
        <v>12</v>
      </c>
      <c r="E398" s="1">
        <v>75</v>
      </c>
      <c r="F398" s="1">
        <v>25</v>
      </c>
      <c r="G398" s="1">
        <v>26</v>
      </c>
      <c r="H398" s="1">
        <v>10</v>
      </c>
      <c r="I398" s="1">
        <v>50</v>
      </c>
    </row>
    <row r="399" spans="1:9" x14ac:dyDescent="0.25">
      <c r="A399" s="2" t="s">
        <v>102</v>
      </c>
      <c r="B399" s="2" t="s">
        <v>88</v>
      </c>
      <c r="C399" s="2" t="s">
        <v>96</v>
      </c>
      <c r="D399" s="2" t="s">
        <v>12</v>
      </c>
      <c r="E399" s="2">
        <v>95</v>
      </c>
      <c r="F399" s="2">
        <v>77</v>
      </c>
      <c r="G399" s="2">
        <v>16</v>
      </c>
      <c r="H399" s="2">
        <v>27</v>
      </c>
      <c r="I399" s="2">
        <v>29</v>
      </c>
    </row>
    <row r="400" spans="1:9" x14ac:dyDescent="0.25">
      <c r="A400" s="1" t="s">
        <v>102</v>
      </c>
      <c r="B400" s="1" t="s">
        <v>88</v>
      </c>
      <c r="C400" s="1" t="s">
        <v>97</v>
      </c>
      <c r="D400" s="1" t="s">
        <v>12</v>
      </c>
      <c r="E400" s="1">
        <v>41</v>
      </c>
      <c r="F400" s="1">
        <v>62</v>
      </c>
      <c r="G400" s="1">
        <v>13</v>
      </c>
      <c r="H400" s="1">
        <v>72</v>
      </c>
      <c r="I400" s="1">
        <v>20</v>
      </c>
    </row>
    <row r="401" spans="1:9" x14ac:dyDescent="0.25">
      <c r="A401" s="2" t="s">
        <v>102</v>
      </c>
      <c r="B401" s="2" t="s">
        <v>88</v>
      </c>
      <c r="C401" s="2" t="s">
        <v>98</v>
      </c>
      <c r="D401" s="2" t="s">
        <v>12</v>
      </c>
      <c r="E401" s="2">
        <v>61</v>
      </c>
      <c r="F401" s="2">
        <v>19</v>
      </c>
      <c r="G401" s="2">
        <v>63</v>
      </c>
      <c r="H401" s="2">
        <v>96</v>
      </c>
      <c r="I401" s="2">
        <v>19</v>
      </c>
    </row>
    <row r="402" spans="1:9" x14ac:dyDescent="0.25">
      <c r="A402" s="1" t="s">
        <v>103</v>
      </c>
      <c r="B402" s="1" t="s">
        <v>10</v>
      </c>
      <c r="C402" s="1" t="s">
        <v>11</v>
      </c>
      <c r="D402" s="1" t="s">
        <v>12</v>
      </c>
      <c r="E402" s="1">
        <v>83</v>
      </c>
      <c r="F402" s="1">
        <v>36</v>
      </c>
      <c r="G402" s="1">
        <v>100</v>
      </c>
      <c r="H402" s="1">
        <v>55</v>
      </c>
      <c r="I402" s="1">
        <v>55</v>
      </c>
    </row>
    <row r="403" spans="1:9" x14ac:dyDescent="0.25">
      <c r="A403" s="2" t="s">
        <v>103</v>
      </c>
      <c r="B403" s="2" t="s">
        <v>10</v>
      </c>
      <c r="C403" s="2" t="s">
        <v>13</v>
      </c>
      <c r="D403" s="2" t="s">
        <v>12</v>
      </c>
      <c r="E403" s="2">
        <v>77</v>
      </c>
      <c r="F403" s="2">
        <v>94</v>
      </c>
      <c r="G403" s="2">
        <v>98</v>
      </c>
      <c r="H403" s="2">
        <v>49</v>
      </c>
      <c r="I403" s="2">
        <v>52</v>
      </c>
    </row>
    <row r="404" spans="1:9" x14ac:dyDescent="0.25">
      <c r="A404" s="1" t="s">
        <v>103</v>
      </c>
      <c r="B404" s="1" t="s">
        <v>10</v>
      </c>
      <c r="C404" s="1" t="s">
        <v>14</v>
      </c>
      <c r="D404" s="1" t="s">
        <v>12</v>
      </c>
      <c r="E404" s="1">
        <v>64</v>
      </c>
      <c r="F404" s="1">
        <v>24</v>
      </c>
      <c r="G404" s="1">
        <v>88</v>
      </c>
      <c r="H404" s="1">
        <v>26</v>
      </c>
      <c r="I404" s="1">
        <v>85</v>
      </c>
    </row>
    <row r="405" spans="1:9" x14ac:dyDescent="0.25">
      <c r="A405" s="2" t="s">
        <v>103</v>
      </c>
      <c r="B405" s="2" t="s">
        <v>10</v>
      </c>
      <c r="C405" s="2" t="s">
        <v>15</v>
      </c>
      <c r="D405" s="2" t="s">
        <v>12</v>
      </c>
      <c r="E405" s="2">
        <v>89</v>
      </c>
      <c r="F405" s="2">
        <v>30</v>
      </c>
      <c r="G405" s="2">
        <v>76</v>
      </c>
      <c r="H405" s="2">
        <v>59</v>
      </c>
      <c r="I405" s="2">
        <v>97</v>
      </c>
    </row>
    <row r="406" spans="1:9" x14ac:dyDescent="0.25">
      <c r="A406" s="1" t="s">
        <v>103</v>
      </c>
      <c r="B406" s="1" t="s">
        <v>10</v>
      </c>
      <c r="C406" s="1" t="s">
        <v>16</v>
      </c>
      <c r="D406" s="1" t="s">
        <v>12</v>
      </c>
      <c r="E406" s="1">
        <v>61</v>
      </c>
      <c r="F406" s="1">
        <v>30</v>
      </c>
      <c r="G406" s="1">
        <v>52</v>
      </c>
      <c r="H406" s="1">
        <v>18</v>
      </c>
      <c r="I406" s="1">
        <v>97</v>
      </c>
    </row>
    <row r="407" spans="1:9" x14ac:dyDescent="0.25">
      <c r="A407" s="2" t="s">
        <v>103</v>
      </c>
      <c r="B407" s="2" t="s">
        <v>10</v>
      </c>
      <c r="C407" s="2" t="s">
        <v>17</v>
      </c>
      <c r="D407" s="2" t="s">
        <v>12</v>
      </c>
      <c r="E407" s="2">
        <v>79</v>
      </c>
      <c r="F407" s="2">
        <v>15</v>
      </c>
      <c r="G407" s="2">
        <v>56</v>
      </c>
      <c r="H407" s="2">
        <v>84</v>
      </c>
      <c r="I407" s="2">
        <v>45</v>
      </c>
    </row>
    <row r="408" spans="1:9" x14ac:dyDescent="0.25">
      <c r="A408" s="1" t="s">
        <v>103</v>
      </c>
      <c r="B408" s="1" t="s">
        <v>10</v>
      </c>
      <c r="C408" s="1" t="s">
        <v>18</v>
      </c>
      <c r="D408" s="1" t="s">
        <v>12</v>
      </c>
      <c r="E408" s="1">
        <v>73</v>
      </c>
      <c r="F408" s="1">
        <v>42</v>
      </c>
      <c r="G408" s="1">
        <v>92</v>
      </c>
      <c r="H408" s="1">
        <v>70</v>
      </c>
      <c r="I408" s="1">
        <v>98</v>
      </c>
    </row>
    <row r="409" spans="1:9" x14ac:dyDescent="0.25">
      <c r="A409" s="2" t="s">
        <v>103</v>
      </c>
      <c r="B409" s="2" t="s">
        <v>10</v>
      </c>
      <c r="C409" s="2" t="s">
        <v>19</v>
      </c>
      <c r="D409" s="2" t="s">
        <v>12</v>
      </c>
      <c r="E409" s="2">
        <v>36</v>
      </c>
      <c r="F409" s="2">
        <v>56</v>
      </c>
      <c r="G409" s="2">
        <v>24</v>
      </c>
      <c r="H409" s="2">
        <v>98</v>
      </c>
      <c r="I409" s="2">
        <v>22</v>
      </c>
    </row>
    <row r="410" spans="1:9" x14ac:dyDescent="0.25">
      <c r="A410" s="1" t="s">
        <v>103</v>
      </c>
      <c r="B410" s="1" t="s">
        <v>10</v>
      </c>
      <c r="C410" s="1" t="s">
        <v>20</v>
      </c>
      <c r="D410" s="1" t="s">
        <v>12</v>
      </c>
      <c r="E410" s="1">
        <v>41</v>
      </c>
      <c r="F410" s="1">
        <v>24</v>
      </c>
      <c r="G410" s="1">
        <v>76</v>
      </c>
      <c r="H410" s="1">
        <v>38</v>
      </c>
      <c r="I410" s="1">
        <v>42</v>
      </c>
    </row>
    <row r="411" spans="1:9" x14ac:dyDescent="0.25">
      <c r="A411" s="2" t="s">
        <v>103</v>
      </c>
      <c r="B411" s="2" t="s">
        <v>10</v>
      </c>
      <c r="C411" s="2" t="s">
        <v>21</v>
      </c>
      <c r="D411" s="2" t="s">
        <v>12</v>
      </c>
      <c r="E411" s="2">
        <v>20</v>
      </c>
      <c r="F411" s="2">
        <v>59</v>
      </c>
      <c r="G411" s="2">
        <v>44</v>
      </c>
      <c r="H411" s="2">
        <v>30</v>
      </c>
      <c r="I411" s="2">
        <v>14</v>
      </c>
    </row>
    <row r="412" spans="1:9" x14ac:dyDescent="0.25">
      <c r="A412" s="1" t="s">
        <v>103</v>
      </c>
      <c r="B412" s="1" t="s">
        <v>22</v>
      </c>
      <c r="C412" s="1" t="s">
        <v>23</v>
      </c>
      <c r="D412" s="1" t="s">
        <v>12</v>
      </c>
      <c r="E412" s="1">
        <v>84</v>
      </c>
      <c r="F412" s="1">
        <v>47</v>
      </c>
      <c r="G412" s="1">
        <v>17</v>
      </c>
      <c r="H412" s="1">
        <v>37</v>
      </c>
      <c r="I412" s="1">
        <v>60</v>
      </c>
    </row>
    <row r="413" spans="1:9" x14ac:dyDescent="0.25">
      <c r="A413" s="2" t="s">
        <v>103</v>
      </c>
      <c r="B413" s="2" t="s">
        <v>22</v>
      </c>
      <c r="C413" s="2" t="s">
        <v>24</v>
      </c>
      <c r="D413" s="2" t="s">
        <v>12</v>
      </c>
      <c r="E413" s="2">
        <v>55</v>
      </c>
      <c r="F413" s="2">
        <v>79</v>
      </c>
      <c r="G413" s="2">
        <v>65</v>
      </c>
      <c r="H413" s="2">
        <v>48</v>
      </c>
      <c r="I413" s="2">
        <v>41</v>
      </c>
    </row>
    <row r="414" spans="1:9" x14ac:dyDescent="0.25">
      <c r="A414" s="1" t="s">
        <v>103</v>
      </c>
      <c r="B414" s="1" t="s">
        <v>22</v>
      </c>
      <c r="C414" s="1" t="s">
        <v>25</v>
      </c>
      <c r="D414" s="1" t="s">
        <v>12</v>
      </c>
      <c r="E414" s="1">
        <v>86</v>
      </c>
      <c r="F414" s="1">
        <v>22</v>
      </c>
      <c r="G414" s="1">
        <v>77</v>
      </c>
      <c r="H414" s="1">
        <v>13</v>
      </c>
      <c r="I414" s="1">
        <v>90</v>
      </c>
    </row>
    <row r="415" spans="1:9" x14ac:dyDescent="0.25">
      <c r="A415" s="2" t="s">
        <v>103</v>
      </c>
      <c r="B415" s="2" t="s">
        <v>22</v>
      </c>
      <c r="C415" s="2" t="s">
        <v>26</v>
      </c>
      <c r="D415" s="2" t="s">
        <v>12</v>
      </c>
      <c r="E415" s="2">
        <v>64</v>
      </c>
      <c r="F415" s="2">
        <v>85</v>
      </c>
      <c r="G415" s="2">
        <v>52</v>
      </c>
      <c r="H415" s="2">
        <v>73</v>
      </c>
      <c r="I415" s="2">
        <v>49</v>
      </c>
    </row>
    <row r="416" spans="1:9" x14ac:dyDescent="0.25">
      <c r="A416" s="1" t="s">
        <v>103</v>
      </c>
      <c r="B416" s="1" t="s">
        <v>22</v>
      </c>
      <c r="C416" s="1" t="s">
        <v>27</v>
      </c>
      <c r="D416" s="1" t="s">
        <v>12</v>
      </c>
      <c r="E416" s="1">
        <v>80</v>
      </c>
      <c r="F416" s="1">
        <v>75</v>
      </c>
      <c r="G416" s="1">
        <v>67</v>
      </c>
      <c r="H416" s="1">
        <v>66</v>
      </c>
      <c r="I416" s="1">
        <v>72</v>
      </c>
    </row>
    <row r="417" spans="1:9" x14ac:dyDescent="0.25">
      <c r="A417" s="2" t="s">
        <v>103</v>
      </c>
      <c r="B417" s="2" t="s">
        <v>22</v>
      </c>
      <c r="C417" s="2" t="s">
        <v>28</v>
      </c>
      <c r="D417" s="2" t="s">
        <v>12</v>
      </c>
      <c r="E417" s="2">
        <v>86</v>
      </c>
      <c r="F417" s="2">
        <v>100</v>
      </c>
      <c r="G417" s="2">
        <v>99</v>
      </c>
      <c r="H417" s="2">
        <v>81</v>
      </c>
      <c r="I417" s="2">
        <v>78</v>
      </c>
    </row>
    <row r="418" spans="1:9" x14ac:dyDescent="0.25">
      <c r="A418" s="1" t="s">
        <v>103</v>
      </c>
      <c r="B418" s="1" t="s">
        <v>22</v>
      </c>
      <c r="C418" s="1" t="s">
        <v>29</v>
      </c>
      <c r="D418" s="1" t="s">
        <v>12</v>
      </c>
      <c r="E418" s="1">
        <v>65</v>
      </c>
      <c r="F418" s="1">
        <v>49</v>
      </c>
      <c r="G418" s="1">
        <v>16</v>
      </c>
      <c r="H418" s="1">
        <v>29</v>
      </c>
      <c r="I418" s="1">
        <v>11</v>
      </c>
    </row>
    <row r="419" spans="1:9" x14ac:dyDescent="0.25">
      <c r="A419" s="2" t="s">
        <v>103</v>
      </c>
      <c r="B419" s="2" t="s">
        <v>22</v>
      </c>
      <c r="C419" s="2" t="s">
        <v>30</v>
      </c>
      <c r="D419" s="2" t="s">
        <v>12</v>
      </c>
      <c r="E419" s="2">
        <v>57</v>
      </c>
      <c r="F419" s="2">
        <v>45</v>
      </c>
      <c r="G419" s="2">
        <v>20</v>
      </c>
      <c r="H419" s="2">
        <v>20</v>
      </c>
      <c r="I419" s="2">
        <v>84</v>
      </c>
    </row>
    <row r="420" spans="1:9" x14ac:dyDescent="0.25">
      <c r="A420" s="1" t="s">
        <v>103</v>
      </c>
      <c r="B420" s="1" t="s">
        <v>22</v>
      </c>
      <c r="C420" s="1" t="s">
        <v>31</v>
      </c>
      <c r="D420" s="1" t="s">
        <v>12</v>
      </c>
      <c r="E420" s="1">
        <v>24</v>
      </c>
      <c r="F420" s="1">
        <v>36</v>
      </c>
      <c r="G420" s="1">
        <v>34</v>
      </c>
      <c r="H420" s="1">
        <v>48</v>
      </c>
      <c r="I420" s="1">
        <v>44</v>
      </c>
    </row>
    <row r="421" spans="1:9" x14ac:dyDescent="0.25">
      <c r="A421" s="2" t="s">
        <v>103</v>
      </c>
      <c r="B421" s="2" t="s">
        <v>22</v>
      </c>
      <c r="C421" s="2" t="s">
        <v>32</v>
      </c>
      <c r="D421" s="2" t="s">
        <v>12</v>
      </c>
      <c r="E421" s="2">
        <v>55</v>
      </c>
      <c r="F421" s="2">
        <v>34</v>
      </c>
      <c r="G421" s="2">
        <v>32</v>
      </c>
      <c r="H421" s="2">
        <v>83</v>
      </c>
      <c r="I421" s="2">
        <v>92</v>
      </c>
    </row>
    <row r="422" spans="1:9" x14ac:dyDescent="0.25">
      <c r="A422" s="1" t="s">
        <v>103</v>
      </c>
      <c r="B422" s="1" t="s">
        <v>33</v>
      </c>
      <c r="C422" s="1" t="s">
        <v>34</v>
      </c>
      <c r="D422" s="1" t="s">
        <v>12</v>
      </c>
      <c r="E422" s="1">
        <v>73</v>
      </c>
      <c r="F422" s="1">
        <v>76</v>
      </c>
      <c r="G422" s="1">
        <v>98</v>
      </c>
      <c r="H422" s="1">
        <v>18</v>
      </c>
      <c r="I422" s="1">
        <v>13</v>
      </c>
    </row>
    <row r="423" spans="1:9" x14ac:dyDescent="0.25">
      <c r="A423" s="2" t="s">
        <v>103</v>
      </c>
      <c r="B423" s="2" t="s">
        <v>33</v>
      </c>
      <c r="C423" s="2" t="s">
        <v>35</v>
      </c>
      <c r="D423" s="2" t="s">
        <v>12</v>
      </c>
      <c r="E423" s="2">
        <v>91</v>
      </c>
      <c r="F423" s="2">
        <v>72</v>
      </c>
      <c r="G423" s="2">
        <v>63</v>
      </c>
      <c r="H423" s="2">
        <v>18</v>
      </c>
      <c r="I423" s="2">
        <v>42</v>
      </c>
    </row>
    <row r="424" spans="1:9" x14ac:dyDescent="0.25">
      <c r="A424" s="1" t="s">
        <v>103</v>
      </c>
      <c r="B424" s="1" t="s">
        <v>33</v>
      </c>
      <c r="C424" s="1" t="s">
        <v>36</v>
      </c>
      <c r="D424" s="1" t="s">
        <v>12</v>
      </c>
      <c r="E424" s="1">
        <v>48</v>
      </c>
      <c r="F424" s="1">
        <v>16</v>
      </c>
      <c r="G424" s="1">
        <v>14</v>
      </c>
      <c r="H424" s="1">
        <v>31</v>
      </c>
      <c r="I424" s="1">
        <v>32</v>
      </c>
    </row>
    <row r="425" spans="1:9" x14ac:dyDescent="0.25">
      <c r="A425" s="2" t="s">
        <v>103</v>
      </c>
      <c r="B425" s="2" t="s">
        <v>33</v>
      </c>
      <c r="C425" s="2" t="s">
        <v>37</v>
      </c>
      <c r="D425" s="2" t="s">
        <v>12</v>
      </c>
      <c r="E425" s="2">
        <v>13</v>
      </c>
      <c r="F425" s="2">
        <v>36</v>
      </c>
      <c r="G425" s="2">
        <v>24</v>
      </c>
      <c r="H425" s="2">
        <v>79</v>
      </c>
      <c r="I425" s="2">
        <v>44</v>
      </c>
    </row>
    <row r="426" spans="1:9" x14ac:dyDescent="0.25">
      <c r="A426" s="1" t="s">
        <v>103</v>
      </c>
      <c r="B426" s="1" t="s">
        <v>33</v>
      </c>
      <c r="C426" s="1" t="s">
        <v>38</v>
      </c>
      <c r="D426" s="1" t="s">
        <v>12</v>
      </c>
      <c r="E426" s="1">
        <v>87</v>
      </c>
      <c r="F426" s="1">
        <v>20</v>
      </c>
      <c r="G426" s="1">
        <v>85</v>
      </c>
      <c r="H426" s="1">
        <v>73</v>
      </c>
      <c r="I426" s="1">
        <v>74</v>
      </c>
    </row>
    <row r="427" spans="1:9" x14ac:dyDescent="0.25">
      <c r="A427" s="2" t="s">
        <v>103</v>
      </c>
      <c r="B427" s="2" t="s">
        <v>33</v>
      </c>
      <c r="C427" s="2" t="s">
        <v>39</v>
      </c>
      <c r="D427" s="2" t="s">
        <v>12</v>
      </c>
      <c r="E427" s="2">
        <v>77</v>
      </c>
      <c r="F427" s="2">
        <v>91</v>
      </c>
      <c r="G427" s="2">
        <v>38</v>
      </c>
      <c r="H427" s="2">
        <v>98</v>
      </c>
      <c r="I427" s="2">
        <v>87</v>
      </c>
    </row>
    <row r="428" spans="1:9" x14ac:dyDescent="0.25">
      <c r="A428" s="1" t="s">
        <v>103</v>
      </c>
      <c r="B428" s="1" t="s">
        <v>33</v>
      </c>
      <c r="C428" s="1" t="s">
        <v>40</v>
      </c>
      <c r="D428" s="1" t="s">
        <v>12</v>
      </c>
      <c r="E428" s="1">
        <v>41</v>
      </c>
      <c r="F428" s="1">
        <v>96</v>
      </c>
      <c r="G428" s="1">
        <v>76</v>
      </c>
      <c r="H428" s="1">
        <v>64</v>
      </c>
      <c r="I428" s="1">
        <v>82</v>
      </c>
    </row>
    <row r="429" spans="1:9" x14ac:dyDescent="0.25">
      <c r="A429" s="2" t="s">
        <v>103</v>
      </c>
      <c r="B429" s="2" t="s">
        <v>33</v>
      </c>
      <c r="C429" s="2" t="s">
        <v>41</v>
      </c>
      <c r="D429" s="2" t="s">
        <v>12</v>
      </c>
      <c r="E429" s="2">
        <v>79</v>
      </c>
      <c r="F429" s="2">
        <v>83</v>
      </c>
      <c r="G429" s="2">
        <v>30</v>
      </c>
      <c r="H429" s="2">
        <v>32</v>
      </c>
      <c r="I429" s="2">
        <v>63</v>
      </c>
    </row>
    <row r="430" spans="1:9" x14ac:dyDescent="0.25">
      <c r="A430" s="1" t="s">
        <v>103</v>
      </c>
      <c r="B430" s="1" t="s">
        <v>33</v>
      </c>
      <c r="C430" s="1" t="s">
        <v>42</v>
      </c>
      <c r="D430" s="1" t="s">
        <v>12</v>
      </c>
      <c r="E430" s="1">
        <v>81</v>
      </c>
      <c r="F430" s="1">
        <v>63</v>
      </c>
      <c r="G430" s="1">
        <v>60</v>
      </c>
      <c r="H430" s="1">
        <v>89</v>
      </c>
      <c r="I430" s="1">
        <v>63</v>
      </c>
    </row>
    <row r="431" spans="1:9" x14ac:dyDescent="0.25">
      <c r="A431" s="2" t="s">
        <v>103</v>
      </c>
      <c r="B431" s="2" t="s">
        <v>33</v>
      </c>
      <c r="C431" s="2" t="s">
        <v>43</v>
      </c>
      <c r="D431" s="2" t="s">
        <v>12</v>
      </c>
      <c r="E431" s="2">
        <v>24</v>
      </c>
      <c r="F431" s="2">
        <v>30</v>
      </c>
      <c r="G431" s="2">
        <v>10</v>
      </c>
      <c r="H431" s="2">
        <v>93</v>
      </c>
      <c r="I431" s="2">
        <v>19</v>
      </c>
    </row>
    <row r="432" spans="1:9" x14ac:dyDescent="0.25">
      <c r="A432" s="1" t="s">
        <v>103</v>
      </c>
      <c r="B432" s="1" t="s">
        <v>44</v>
      </c>
      <c r="C432" s="1" t="s">
        <v>45</v>
      </c>
      <c r="D432" s="1" t="s">
        <v>12</v>
      </c>
      <c r="E432" s="1">
        <v>70</v>
      </c>
      <c r="F432" s="1">
        <v>20</v>
      </c>
      <c r="G432" s="1">
        <v>50</v>
      </c>
      <c r="H432" s="1">
        <v>21</v>
      </c>
      <c r="I432" s="1">
        <v>29</v>
      </c>
    </row>
    <row r="433" spans="1:9" x14ac:dyDescent="0.25">
      <c r="A433" s="2" t="s">
        <v>103</v>
      </c>
      <c r="B433" s="2" t="s">
        <v>44</v>
      </c>
      <c r="C433" s="2" t="s">
        <v>46</v>
      </c>
      <c r="D433" s="2" t="s">
        <v>12</v>
      </c>
      <c r="E433" s="2">
        <v>13</v>
      </c>
      <c r="F433" s="2">
        <v>79</v>
      </c>
      <c r="G433" s="2">
        <v>43</v>
      </c>
      <c r="H433" s="2">
        <v>72</v>
      </c>
      <c r="I433" s="2">
        <v>56</v>
      </c>
    </row>
    <row r="434" spans="1:9" x14ac:dyDescent="0.25">
      <c r="A434" s="1" t="s">
        <v>103</v>
      </c>
      <c r="B434" s="1" t="s">
        <v>44</v>
      </c>
      <c r="C434" s="1" t="s">
        <v>47</v>
      </c>
      <c r="D434" s="1" t="s">
        <v>12</v>
      </c>
      <c r="E434" s="1">
        <v>58</v>
      </c>
      <c r="F434" s="1">
        <v>77</v>
      </c>
      <c r="G434" s="1">
        <v>91</v>
      </c>
      <c r="H434" s="1">
        <v>24</v>
      </c>
      <c r="I434" s="1">
        <v>25</v>
      </c>
    </row>
    <row r="435" spans="1:9" x14ac:dyDescent="0.25">
      <c r="A435" s="2" t="s">
        <v>103</v>
      </c>
      <c r="B435" s="2" t="s">
        <v>44</v>
      </c>
      <c r="C435" s="2" t="s">
        <v>48</v>
      </c>
      <c r="D435" s="2" t="s">
        <v>12</v>
      </c>
      <c r="E435" s="2">
        <v>70</v>
      </c>
      <c r="F435" s="2">
        <v>62</v>
      </c>
      <c r="G435" s="2">
        <v>36</v>
      </c>
      <c r="H435" s="2">
        <v>97</v>
      </c>
      <c r="I435" s="2">
        <v>89</v>
      </c>
    </row>
    <row r="436" spans="1:9" x14ac:dyDescent="0.25">
      <c r="A436" s="1" t="s">
        <v>103</v>
      </c>
      <c r="B436" s="1" t="s">
        <v>44</v>
      </c>
      <c r="C436" s="1" t="s">
        <v>49</v>
      </c>
      <c r="D436" s="1" t="s">
        <v>12</v>
      </c>
      <c r="E436" s="1">
        <v>85</v>
      </c>
      <c r="F436" s="1">
        <v>21</v>
      </c>
      <c r="G436" s="1">
        <v>75</v>
      </c>
      <c r="H436" s="1">
        <v>37</v>
      </c>
      <c r="I436" s="1">
        <v>93</v>
      </c>
    </row>
    <row r="437" spans="1:9" x14ac:dyDescent="0.25">
      <c r="A437" s="2" t="s">
        <v>103</v>
      </c>
      <c r="B437" s="2" t="s">
        <v>44</v>
      </c>
      <c r="C437" s="2" t="s">
        <v>50</v>
      </c>
      <c r="D437" s="2" t="s">
        <v>12</v>
      </c>
      <c r="E437" s="2">
        <v>61</v>
      </c>
      <c r="F437" s="2">
        <v>55</v>
      </c>
      <c r="G437" s="2">
        <v>72</v>
      </c>
      <c r="H437" s="2">
        <v>35</v>
      </c>
      <c r="I437" s="2">
        <v>54</v>
      </c>
    </row>
    <row r="438" spans="1:9" x14ac:dyDescent="0.25">
      <c r="A438" s="1" t="s">
        <v>103</v>
      </c>
      <c r="B438" s="1" t="s">
        <v>44</v>
      </c>
      <c r="C438" s="1" t="s">
        <v>51</v>
      </c>
      <c r="D438" s="1" t="s">
        <v>12</v>
      </c>
      <c r="E438" s="1">
        <v>12</v>
      </c>
      <c r="F438" s="1">
        <v>30</v>
      </c>
      <c r="G438" s="1">
        <v>63</v>
      </c>
      <c r="H438" s="1">
        <v>61</v>
      </c>
      <c r="I438" s="1">
        <v>56</v>
      </c>
    </row>
    <row r="439" spans="1:9" x14ac:dyDescent="0.25">
      <c r="A439" s="2" t="s">
        <v>103</v>
      </c>
      <c r="B439" s="2" t="s">
        <v>44</v>
      </c>
      <c r="C439" s="2" t="s">
        <v>52</v>
      </c>
      <c r="D439" s="2" t="s">
        <v>12</v>
      </c>
      <c r="E439" s="2">
        <v>26</v>
      </c>
      <c r="F439" s="2">
        <v>99</v>
      </c>
      <c r="G439" s="2">
        <v>16</v>
      </c>
      <c r="H439" s="2">
        <v>88</v>
      </c>
      <c r="I439" s="2">
        <v>35</v>
      </c>
    </row>
    <row r="440" spans="1:9" x14ac:dyDescent="0.25">
      <c r="A440" s="1" t="s">
        <v>103</v>
      </c>
      <c r="B440" s="1" t="s">
        <v>44</v>
      </c>
      <c r="C440" s="1" t="s">
        <v>53</v>
      </c>
      <c r="D440" s="1" t="s">
        <v>12</v>
      </c>
      <c r="E440" s="1">
        <v>22</v>
      </c>
      <c r="F440" s="1">
        <v>88</v>
      </c>
      <c r="G440" s="1">
        <v>18</v>
      </c>
      <c r="H440" s="1">
        <v>82</v>
      </c>
      <c r="I440" s="1">
        <v>77</v>
      </c>
    </row>
    <row r="441" spans="1:9" x14ac:dyDescent="0.25">
      <c r="A441" s="2" t="s">
        <v>103</v>
      </c>
      <c r="B441" s="2" t="s">
        <v>44</v>
      </c>
      <c r="C441" s="2" t="s">
        <v>54</v>
      </c>
      <c r="D441" s="2" t="s">
        <v>12</v>
      </c>
      <c r="E441" s="2">
        <v>82</v>
      </c>
      <c r="F441" s="2">
        <v>74</v>
      </c>
      <c r="G441" s="2">
        <v>30</v>
      </c>
      <c r="H441" s="2">
        <v>24</v>
      </c>
      <c r="I441" s="2">
        <v>86</v>
      </c>
    </row>
    <row r="442" spans="1:9" x14ac:dyDescent="0.25">
      <c r="A442" s="1" t="s">
        <v>103</v>
      </c>
      <c r="B442" s="1" t="s">
        <v>55</v>
      </c>
      <c r="C442" s="1" t="s">
        <v>56</v>
      </c>
      <c r="D442" s="1" t="s">
        <v>12</v>
      </c>
      <c r="E442" s="1">
        <v>41</v>
      </c>
      <c r="F442" s="1">
        <v>13</v>
      </c>
      <c r="G442" s="1">
        <v>32</v>
      </c>
      <c r="H442" s="1">
        <v>30</v>
      </c>
      <c r="I442" s="1">
        <v>52</v>
      </c>
    </row>
    <row r="443" spans="1:9" x14ac:dyDescent="0.25">
      <c r="A443" s="2" t="s">
        <v>103</v>
      </c>
      <c r="B443" s="2" t="s">
        <v>55</v>
      </c>
      <c r="C443" s="2" t="s">
        <v>57</v>
      </c>
      <c r="D443" s="2" t="s">
        <v>12</v>
      </c>
      <c r="E443" s="2">
        <v>97</v>
      </c>
      <c r="F443" s="2">
        <v>42</v>
      </c>
      <c r="G443" s="2">
        <v>12</v>
      </c>
      <c r="H443" s="2">
        <v>59</v>
      </c>
      <c r="I443" s="2">
        <v>48</v>
      </c>
    </row>
    <row r="444" spans="1:9" x14ac:dyDescent="0.25">
      <c r="A444" s="1" t="s">
        <v>103</v>
      </c>
      <c r="B444" s="1" t="s">
        <v>55</v>
      </c>
      <c r="C444" s="1" t="s">
        <v>58</v>
      </c>
      <c r="D444" s="1" t="s">
        <v>12</v>
      </c>
      <c r="E444" s="1">
        <v>49</v>
      </c>
      <c r="F444" s="1">
        <v>100</v>
      </c>
      <c r="G444" s="1">
        <v>80</v>
      </c>
      <c r="H444" s="1">
        <v>25</v>
      </c>
      <c r="I444" s="1">
        <v>31</v>
      </c>
    </row>
    <row r="445" spans="1:9" x14ac:dyDescent="0.25">
      <c r="A445" s="2" t="s">
        <v>103</v>
      </c>
      <c r="B445" s="2" t="s">
        <v>55</v>
      </c>
      <c r="C445" s="2" t="s">
        <v>59</v>
      </c>
      <c r="D445" s="2" t="s">
        <v>12</v>
      </c>
      <c r="E445" s="2">
        <v>99</v>
      </c>
      <c r="F445" s="2">
        <v>33</v>
      </c>
      <c r="G445" s="2">
        <v>39</v>
      </c>
      <c r="H445" s="2">
        <v>35</v>
      </c>
      <c r="I445" s="2">
        <v>31</v>
      </c>
    </row>
    <row r="446" spans="1:9" x14ac:dyDescent="0.25">
      <c r="A446" s="1" t="s">
        <v>103</v>
      </c>
      <c r="B446" s="1" t="s">
        <v>55</v>
      </c>
      <c r="C446" s="1" t="s">
        <v>60</v>
      </c>
      <c r="D446" s="1" t="s">
        <v>12</v>
      </c>
      <c r="E446" s="1">
        <v>18</v>
      </c>
      <c r="F446" s="1">
        <v>79</v>
      </c>
      <c r="G446" s="1">
        <v>88</v>
      </c>
      <c r="H446" s="1">
        <v>59</v>
      </c>
      <c r="I446" s="1">
        <v>43</v>
      </c>
    </row>
    <row r="447" spans="1:9" x14ac:dyDescent="0.25">
      <c r="A447" s="2" t="s">
        <v>103</v>
      </c>
      <c r="B447" s="2" t="s">
        <v>55</v>
      </c>
      <c r="C447" s="2" t="s">
        <v>61</v>
      </c>
      <c r="D447" s="2" t="s">
        <v>12</v>
      </c>
      <c r="E447" s="2">
        <v>54</v>
      </c>
      <c r="F447" s="2">
        <v>97</v>
      </c>
      <c r="G447" s="2">
        <v>72</v>
      </c>
      <c r="H447" s="2">
        <v>97</v>
      </c>
      <c r="I447" s="2">
        <v>38</v>
      </c>
    </row>
    <row r="448" spans="1:9" x14ac:dyDescent="0.25">
      <c r="A448" s="1" t="s">
        <v>103</v>
      </c>
      <c r="B448" s="1" t="s">
        <v>55</v>
      </c>
      <c r="C448" s="1" t="s">
        <v>62</v>
      </c>
      <c r="D448" s="1" t="s">
        <v>12</v>
      </c>
      <c r="E448" s="1">
        <v>23</v>
      </c>
      <c r="F448" s="1">
        <v>22</v>
      </c>
      <c r="G448" s="1">
        <v>85</v>
      </c>
      <c r="H448" s="1">
        <v>59</v>
      </c>
      <c r="I448" s="1">
        <v>29</v>
      </c>
    </row>
    <row r="449" spans="1:9" x14ac:dyDescent="0.25">
      <c r="A449" s="2" t="s">
        <v>103</v>
      </c>
      <c r="B449" s="2" t="s">
        <v>55</v>
      </c>
      <c r="C449" s="2" t="s">
        <v>63</v>
      </c>
      <c r="D449" s="2" t="s">
        <v>12</v>
      </c>
      <c r="E449" s="2">
        <v>36</v>
      </c>
      <c r="F449" s="2">
        <v>62</v>
      </c>
      <c r="G449" s="2">
        <v>90</v>
      </c>
      <c r="H449" s="2">
        <v>71</v>
      </c>
      <c r="I449" s="2">
        <v>57</v>
      </c>
    </row>
    <row r="450" spans="1:9" x14ac:dyDescent="0.25">
      <c r="A450" s="1" t="s">
        <v>103</v>
      </c>
      <c r="B450" s="1" t="s">
        <v>55</v>
      </c>
      <c r="C450" s="1" t="s">
        <v>64</v>
      </c>
      <c r="D450" s="1" t="s">
        <v>12</v>
      </c>
      <c r="E450" s="1">
        <v>50</v>
      </c>
      <c r="F450" s="1">
        <v>56</v>
      </c>
      <c r="G450" s="1">
        <v>77</v>
      </c>
      <c r="H450" s="1">
        <v>36</v>
      </c>
      <c r="I450" s="1">
        <v>73</v>
      </c>
    </row>
    <row r="451" spans="1:9" x14ac:dyDescent="0.25">
      <c r="A451" s="2" t="s">
        <v>103</v>
      </c>
      <c r="B451" s="2" t="s">
        <v>55</v>
      </c>
      <c r="C451" s="2" t="s">
        <v>65</v>
      </c>
      <c r="D451" s="2" t="s">
        <v>12</v>
      </c>
      <c r="E451" s="2">
        <v>11</v>
      </c>
      <c r="F451" s="2">
        <v>91</v>
      </c>
      <c r="G451" s="2">
        <v>41</v>
      </c>
      <c r="H451" s="2">
        <v>44</v>
      </c>
      <c r="I451" s="2">
        <v>93</v>
      </c>
    </row>
    <row r="452" spans="1:9" x14ac:dyDescent="0.25">
      <c r="A452" s="1" t="s">
        <v>103</v>
      </c>
      <c r="B452" s="1" t="s">
        <v>66</v>
      </c>
      <c r="C452" s="1" t="s">
        <v>67</v>
      </c>
      <c r="D452" s="1" t="s">
        <v>12</v>
      </c>
      <c r="E452" s="1">
        <v>83</v>
      </c>
      <c r="F452" s="1">
        <v>62</v>
      </c>
      <c r="G452" s="1">
        <v>64</v>
      </c>
      <c r="H452" s="1">
        <v>100</v>
      </c>
      <c r="I452" s="1">
        <v>97</v>
      </c>
    </row>
    <row r="453" spans="1:9" x14ac:dyDescent="0.25">
      <c r="A453" s="2" t="s">
        <v>103</v>
      </c>
      <c r="B453" s="2" t="s">
        <v>66</v>
      </c>
      <c r="C453" s="2" t="s">
        <v>68</v>
      </c>
      <c r="D453" s="2" t="s">
        <v>12</v>
      </c>
      <c r="E453" s="2">
        <v>82</v>
      </c>
      <c r="F453" s="2">
        <v>37</v>
      </c>
      <c r="G453" s="2">
        <v>12</v>
      </c>
      <c r="H453" s="2">
        <v>52</v>
      </c>
      <c r="I453" s="2">
        <v>88</v>
      </c>
    </row>
    <row r="454" spans="1:9" x14ac:dyDescent="0.25">
      <c r="A454" s="1" t="s">
        <v>103</v>
      </c>
      <c r="B454" s="1" t="s">
        <v>66</v>
      </c>
      <c r="C454" s="1" t="s">
        <v>69</v>
      </c>
      <c r="D454" s="1" t="s">
        <v>12</v>
      </c>
      <c r="E454" s="1">
        <v>28</v>
      </c>
      <c r="F454" s="1">
        <v>88</v>
      </c>
      <c r="G454" s="1">
        <v>88</v>
      </c>
      <c r="H454" s="1">
        <v>87</v>
      </c>
      <c r="I454" s="1">
        <v>50</v>
      </c>
    </row>
    <row r="455" spans="1:9" x14ac:dyDescent="0.25">
      <c r="A455" s="2" t="s">
        <v>103</v>
      </c>
      <c r="B455" s="2" t="s">
        <v>66</v>
      </c>
      <c r="C455" s="2" t="s">
        <v>70</v>
      </c>
      <c r="D455" s="2" t="s">
        <v>12</v>
      </c>
      <c r="E455" s="2">
        <v>85</v>
      </c>
      <c r="F455" s="2">
        <v>16</v>
      </c>
      <c r="G455" s="2">
        <v>89</v>
      </c>
      <c r="H455" s="2">
        <v>43</v>
      </c>
      <c r="I455" s="2">
        <v>22</v>
      </c>
    </row>
    <row r="456" spans="1:9" x14ac:dyDescent="0.25">
      <c r="A456" s="1" t="s">
        <v>103</v>
      </c>
      <c r="B456" s="1" t="s">
        <v>66</v>
      </c>
      <c r="C456" s="1" t="s">
        <v>71</v>
      </c>
      <c r="D456" s="1" t="s">
        <v>12</v>
      </c>
      <c r="E456" s="1">
        <v>78</v>
      </c>
      <c r="F456" s="1">
        <v>49</v>
      </c>
      <c r="G456" s="1">
        <v>34</v>
      </c>
      <c r="H456" s="1">
        <v>47</v>
      </c>
      <c r="I456" s="1">
        <v>22</v>
      </c>
    </row>
    <row r="457" spans="1:9" x14ac:dyDescent="0.25">
      <c r="A457" s="2" t="s">
        <v>103</v>
      </c>
      <c r="B457" s="2" t="s">
        <v>66</v>
      </c>
      <c r="C457" s="2" t="s">
        <v>72</v>
      </c>
      <c r="D457" s="2" t="s">
        <v>12</v>
      </c>
      <c r="E457" s="2">
        <v>10</v>
      </c>
      <c r="F457" s="2">
        <v>35</v>
      </c>
      <c r="G457" s="2">
        <v>29</v>
      </c>
      <c r="H457" s="2">
        <v>41</v>
      </c>
      <c r="I457" s="2">
        <v>44</v>
      </c>
    </row>
    <row r="458" spans="1:9" x14ac:dyDescent="0.25">
      <c r="A458" s="1" t="s">
        <v>103</v>
      </c>
      <c r="B458" s="1" t="s">
        <v>66</v>
      </c>
      <c r="C458" s="1" t="s">
        <v>73</v>
      </c>
      <c r="D458" s="1" t="s">
        <v>12</v>
      </c>
      <c r="E458" s="1">
        <v>58</v>
      </c>
      <c r="F458" s="1">
        <v>70</v>
      </c>
      <c r="G458" s="1">
        <v>70</v>
      </c>
      <c r="H458" s="1">
        <v>58</v>
      </c>
      <c r="I458" s="1">
        <v>87</v>
      </c>
    </row>
    <row r="459" spans="1:9" x14ac:dyDescent="0.25">
      <c r="A459" s="2" t="s">
        <v>103</v>
      </c>
      <c r="B459" s="2" t="s">
        <v>66</v>
      </c>
      <c r="C459" s="2" t="s">
        <v>74</v>
      </c>
      <c r="D459" s="2" t="s">
        <v>12</v>
      </c>
      <c r="E459" s="2">
        <v>64</v>
      </c>
      <c r="F459" s="2">
        <v>68</v>
      </c>
      <c r="G459" s="2">
        <v>63</v>
      </c>
      <c r="H459" s="2">
        <v>68</v>
      </c>
      <c r="I459" s="2">
        <v>56</v>
      </c>
    </row>
    <row r="460" spans="1:9" x14ac:dyDescent="0.25">
      <c r="A460" s="1" t="s">
        <v>103</v>
      </c>
      <c r="B460" s="1" t="s">
        <v>66</v>
      </c>
      <c r="C460" s="1" t="s">
        <v>75</v>
      </c>
      <c r="D460" s="1" t="s">
        <v>12</v>
      </c>
      <c r="E460" s="1">
        <v>67</v>
      </c>
      <c r="F460" s="1">
        <v>66</v>
      </c>
      <c r="G460" s="1">
        <v>31</v>
      </c>
      <c r="H460" s="1">
        <v>32</v>
      </c>
      <c r="I460" s="1">
        <v>82</v>
      </c>
    </row>
    <row r="461" spans="1:9" x14ac:dyDescent="0.25">
      <c r="A461" s="2" t="s">
        <v>103</v>
      </c>
      <c r="B461" s="2" t="s">
        <v>66</v>
      </c>
      <c r="C461" s="2" t="s">
        <v>76</v>
      </c>
      <c r="D461" s="2" t="s">
        <v>12</v>
      </c>
      <c r="E461" s="2">
        <v>55</v>
      </c>
      <c r="F461" s="2">
        <v>33</v>
      </c>
      <c r="G461" s="2">
        <v>92</v>
      </c>
      <c r="H461" s="2">
        <v>28</v>
      </c>
      <c r="I461" s="2">
        <v>64</v>
      </c>
    </row>
    <row r="462" spans="1:9" x14ac:dyDescent="0.25">
      <c r="A462" s="1" t="s">
        <v>103</v>
      </c>
      <c r="B462" s="1" t="s">
        <v>77</v>
      </c>
      <c r="C462" s="1" t="s">
        <v>78</v>
      </c>
      <c r="D462" s="1" t="s">
        <v>12</v>
      </c>
      <c r="E462" s="1">
        <v>49</v>
      </c>
      <c r="F462" s="1">
        <v>21</v>
      </c>
      <c r="G462" s="1">
        <v>96</v>
      </c>
      <c r="H462" s="1">
        <v>59</v>
      </c>
      <c r="I462" s="1">
        <v>69</v>
      </c>
    </row>
    <row r="463" spans="1:9" x14ac:dyDescent="0.25">
      <c r="A463" s="2" t="s">
        <v>103</v>
      </c>
      <c r="B463" s="2" t="s">
        <v>77</v>
      </c>
      <c r="C463" s="2" t="s">
        <v>79</v>
      </c>
      <c r="D463" s="2" t="s">
        <v>12</v>
      </c>
      <c r="E463" s="2">
        <v>98</v>
      </c>
      <c r="F463" s="2">
        <v>82</v>
      </c>
      <c r="G463" s="2">
        <v>65</v>
      </c>
      <c r="H463" s="2">
        <v>85</v>
      </c>
      <c r="I463" s="2">
        <v>83</v>
      </c>
    </row>
    <row r="464" spans="1:9" x14ac:dyDescent="0.25">
      <c r="A464" s="1" t="s">
        <v>103</v>
      </c>
      <c r="B464" s="1" t="s">
        <v>77</v>
      </c>
      <c r="C464" s="1" t="s">
        <v>80</v>
      </c>
      <c r="D464" s="1" t="s">
        <v>12</v>
      </c>
      <c r="E464" s="1">
        <v>96</v>
      </c>
      <c r="F464" s="1">
        <v>38</v>
      </c>
      <c r="G464" s="1">
        <v>84</v>
      </c>
      <c r="H464" s="1">
        <v>87</v>
      </c>
      <c r="I464" s="1">
        <v>93</v>
      </c>
    </row>
    <row r="465" spans="1:9" x14ac:dyDescent="0.25">
      <c r="A465" s="2" t="s">
        <v>103</v>
      </c>
      <c r="B465" s="2" t="s">
        <v>77</v>
      </c>
      <c r="C465" s="2" t="s">
        <v>81</v>
      </c>
      <c r="D465" s="2" t="s">
        <v>12</v>
      </c>
      <c r="E465" s="2">
        <v>88</v>
      </c>
      <c r="F465" s="2">
        <v>29</v>
      </c>
      <c r="G465" s="2">
        <v>24</v>
      </c>
      <c r="H465" s="2">
        <v>62</v>
      </c>
      <c r="I465" s="2">
        <v>93</v>
      </c>
    </row>
    <row r="466" spans="1:9" x14ac:dyDescent="0.25">
      <c r="A466" s="1" t="s">
        <v>103</v>
      </c>
      <c r="B466" s="1" t="s">
        <v>77</v>
      </c>
      <c r="C466" s="1" t="s">
        <v>82</v>
      </c>
      <c r="D466" s="1" t="s">
        <v>12</v>
      </c>
      <c r="E466" s="1">
        <v>16</v>
      </c>
      <c r="F466" s="1">
        <v>39</v>
      </c>
      <c r="G466" s="1">
        <v>16</v>
      </c>
      <c r="H466" s="1">
        <v>99</v>
      </c>
      <c r="I466" s="1">
        <v>77</v>
      </c>
    </row>
    <row r="467" spans="1:9" x14ac:dyDescent="0.25">
      <c r="A467" s="2" t="s">
        <v>103</v>
      </c>
      <c r="B467" s="2" t="s">
        <v>77</v>
      </c>
      <c r="C467" s="2" t="s">
        <v>83</v>
      </c>
      <c r="D467" s="2" t="s">
        <v>12</v>
      </c>
      <c r="E467" s="2">
        <v>13</v>
      </c>
      <c r="F467" s="2">
        <v>90</v>
      </c>
      <c r="G467" s="2">
        <v>48</v>
      </c>
      <c r="H467" s="2">
        <v>86</v>
      </c>
      <c r="I467" s="2">
        <v>40</v>
      </c>
    </row>
    <row r="468" spans="1:9" x14ac:dyDescent="0.25">
      <c r="A468" s="1" t="s">
        <v>103</v>
      </c>
      <c r="B468" s="1" t="s">
        <v>77</v>
      </c>
      <c r="C468" s="1" t="s">
        <v>84</v>
      </c>
      <c r="D468" s="1" t="s">
        <v>12</v>
      </c>
      <c r="E468" s="1">
        <v>97</v>
      </c>
      <c r="F468" s="1">
        <v>38</v>
      </c>
      <c r="G468" s="1">
        <v>80</v>
      </c>
      <c r="H468" s="1">
        <v>16</v>
      </c>
      <c r="I468" s="1">
        <v>22</v>
      </c>
    </row>
    <row r="469" spans="1:9" x14ac:dyDescent="0.25">
      <c r="A469" s="2" t="s">
        <v>103</v>
      </c>
      <c r="B469" s="2" t="s">
        <v>77</v>
      </c>
      <c r="C469" s="2" t="s">
        <v>85</v>
      </c>
      <c r="D469" s="2" t="s">
        <v>12</v>
      </c>
      <c r="E469" s="2">
        <v>91</v>
      </c>
      <c r="F469" s="2">
        <v>78</v>
      </c>
      <c r="G469" s="2">
        <v>29</v>
      </c>
      <c r="H469" s="2">
        <v>83</v>
      </c>
      <c r="I469" s="2">
        <v>36</v>
      </c>
    </row>
    <row r="470" spans="1:9" x14ac:dyDescent="0.25">
      <c r="A470" s="1" t="s">
        <v>103</v>
      </c>
      <c r="B470" s="1" t="s">
        <v>77</v>
      </c>
      <c r="C470" s="1" t="s">
        <v>86</v>
      </c>
      <c r="D470" s="1" t="s">
        <v>12</v>
      </c>
      <c r="E470" s="1">
        <v>62</v>
      </c>
      <c r="F470" s="1">
        <v>79</v>
      </c>
      <c r="G470" s="1">
        <v>86</v>
      </c>
      <c r="H470" s="1">
        <v>59</v>
      </c>
      <c r="I470" s="1">
        <v>41</v>
      </c>
    </row>
    <row r="471" spans="1:9" x14ac:dyDescent="0.25">
      <c r="A471" s="2" t="s">
        <v>103</v>
      </c>
      <c r="B471" s="2" t="s">
        <v>77</v>
      </c>
      <c r="C471" s="2" t="s">
        <v>87</v>
      </c>
      <c r="D471" s="2" t="s">
        <v>12</v>
      </c>
      <c r="E471" s="2">
        <v>80</v>
      </c>
      <c r="F471" s="2">
        <v>72</v>
      </c>
      <c r="G471" s="2">
        <v>14</v>
      </c>
      <c r="H471" s="2">
        <v>16</v>
      </c>
      <c r="I471" s="2">
        <v>21</v>
      </c>
    </row>
    <row r="472" spans="1:9" x14ac:dyDescent="0.25">
      <c r="A472" s="1" t="s">
        <v>103</v>
      </c>
      <c r="B472" s="1" t="s">
        <v>88</v>
      </c>
      <c r="C472" s="1" t="s">
        <v>89</v>
      </c>
      <c r="D472" s="1" t="s">
        <v>12</v>
      </c>
      <c r="E472" s="1">
        <v>59</v>
      </c>
      <c r="F472" s="1">
        <v>32</v>
      </c>
      <c r="G472" s="1">
        <v>18</v>
      </c>
      <c r="H472" s="1">
        <v>77</v>
      </c>
      <c r="I472" s="1">
        <v>13</v>
      </c>
    </row>
    <row r="473" spans="1:9" x14ac:dyDescent="0.25">
      <c r="A473" s="2" t="s">
        <v>103</v>
      </c>
      <c r="B473" s="2" t="s">
        <v>88</v>
      </c>
      <c r="C473" s="2" t="s">
        <v>90</v>
      </c>
      <c r="D473" s="2" t="s">
        <v>12</v>
      </c>
      <c r="E473" s="2">
        <v>75</v>
      </c>
      <c r="F473" s="2">
        <v>56</v>
      </c>
      <c r="G473" s="2">
        <v>71</v>
      </c>
      <c r="H473" s="2">
        <v>43</v>
      </c>
      <c r="I473" s="2">
        <v>44</v>
      </c>
    </row>
    <row r="474" spans="1:9" x14ac:dyDescent="0.25">
      <c r="A474" s="1" t="s">
        <v>103</v>
      </c>
      <c r="B474" s="1" t="s">
        <v>88</v>
      </c>
      <c r="C474" s="1" t="s">
        <v>91</v>
      </c>
      <c r="D474" s="1" t="s">
        <v>12</v>
      </c>
      <c r="E474" s="1">
        <v>18</v>
      </c>
      <c r="F474" s="1">
        <v>29</v>
      </c>
      <c r="G474" s="1">
        <v>82</v>
      </c>
      <c r="H474" s="1">
        <v>90</v>
      </c>
      <c r="I474" s="1">
        <v>12</v>
      </c>
    </row>
    <row r="475" spans="1:9" x14ac:dyDescent="0.25">
      <c r="A475" s="2" t="s">
        <v>103</v>
      </c>
      <c r="B475" s="2" t="s">
        <v>88</v>
      </c>
      <c r="C475" s="2" t="s">
        <v>92</v>
      </c>
      <c r="D475" s="2" t="s">
        <v>12</v>
      </c>
      <c r="E475" s="2">
        <v>61</v>
      </c>
      <c r="F475" s="2">
        <v>53</v>
      </c>
      <c r="G475" s="2">
        <v>27</v>
      </c>
      <c r="H475" s="2">
        <v>26</v>
      </c>
      <c r="I475" s="2">
        <v>56</v>
      </c>
    </row>
    <row r="476" spans="1:9" x14ac:dyDescent="0.25">
      <c r="A476" s="1" t="s">
        <v>103</v>
      </c>
      <c r="B476" s="1" t="s">
        <v>88</v>
      </c>
      <c r="C476" s="1" t="s">
        <v>93</v>
      </c>
      <c r="D476" s="1" t="s">
        <v>12</v>
      </c>
      <c r="E476" s="1">
        <v>37</v>
      </c>
      <c r="F476" s="1">
        <v>19</v>
      </c>
      <c r="G476" s="1">
        <v>61</v>
      </c>
      <c r="H476" s="1">
        <v>65</v>
      </c>
      <c r="I476" s="1">
        <v>65</v>
      </c>
    </row>
    <row r="477" spans="1:9" x14ac:dyDescent="0.25">
      <c r="A477" s="2" t="s">
        <v>103</v>
      </c>
      <c r="B477" s="2" t="s">
        <v>88</v>
      </c>
      <c r="C477" s="2" t="s">
        <v>94</v>
      </c>
      <c r="D477" s="2" t="s">
        <v>12</v>
      </c>
      <c r="E477" s="2">
        <v>76</v>
      </c>
      <c r="F477" s="2">
        <v>56</v>
      </c>
      <c r="G477" s="2">
        <v>76</v>
      </c>
      <c r="H477" s="2">
        <v>87</v>
      </c>
      <c r="I477" s="2">
        <v>32</v>
      </c>
    </row>
    <row r="478" spans="1:9" x14ac:dyDescent="0.25">
      <c r="A478" s="1" t="s">
        <v>103</v>
      </c>
      <c r="B478" s="1" t="s">
        <v>88</v>
      </c>
      <c r="C478" s="1" t="s">
        <v>95</v>
      </c>
      <c r="D478" s="1" t="s">
        <v>12</v>
      </c>
      <c r="E478" s="1">
        <v>69</v>
      </c>
      <c r="F478" s="1">
        <v>78</v>
      </c>
      <c r="G478" s="1">
        <v>68</v>
      </c>
      <c r="H478" s="1">
        <v>87</v>
      </c>
      <c r="I478" s="1">
        <v>81</v>
      </c>
    </row>
    <row r="479" spans="1:9" x14ac:dyDescent="0.25">
      <c r="A479" s="2" t="s">
        <v>103</v>
      </c>
      <c r="B479" s="2" t="s">
        <v>88</v>
      </c>
      <c r="C479" s="2" t="s">
        <v>96</v>
      </c>
      <c r="D479" s="2" t="s">
        <v>12</v>
      </c>
      <c r="E479" s="2">
        <v>100</v>
      </c>
      <c r="F479" s="2">
        <v>29</v>
      </c>
      <c r="G479" s="2">
        <v>97</v>
      </c>
      <c r="H479" s="2">
        <v>61</v>
      </c>
      <c r="I479" s="2">
        <v>61</v>
      </c>
    </row>
    <row r="480" spans="1:9" x14ac:dyDescent="0.25">
      <c r="A480" s="1" t="s">
        <v>103</v>
      </c>
      <c r="B480" s="1" t="s">
        <v>88</v>
      </c>
      <c r="C480" s="1" t="s">
        <v>97</v>
      </c>
      <c r="D480" s="1" t="s">
        <v>12</v>
      </c>
      <c r="E480" s="1">
        <v>60</v>
      </c>
      <c r="F480" s="1">
        <v>91</v>
      </c>
      <c r="G480" s="1">
        <v>89</v>
      </c>
      <c r="H480" s="1">
        <v>10</v>
      </c>
      <c r="I480" s="1">
        <v>62</v>
      </c>
    </row>
    <row r="481" spans="1:9" x14ac:dyDescent="0.25">
      <c r="A481" s="2" t="s">
        <v>103</v>
      </c>
      <c r="B481" s="2" t="s">
        <v>88</v>
      </c>
      <c r="C481" s="2" t="s">
        <v>98</v>
      </c>
      <c r="D481" s="2" t="s">
        <v>12</v>
      </c>
      <c r="E481" s="2">
        <v>93</v>
      </c>
      <c r="F481" s="2">
        <v>44</v>
      </c>
      <c r="G481" s="2">
        <v>78</v>
      </c>
      <c r="H481" s="2">
        <v>28</v>
      </c>
      <c r="I481" s="2">
        <v>99</v>
      </c>
    </row>
    <row r="482" spans="1:9" x14ac:dyDescent="0.25">
      <c r="A482" s="1" t="s">
        <v>104</v>
      </c>
      <c r="B482" s="1" t="s">
        <v>10</v>
      </c>
      <c r="C482" s="1" t="s">
        <v>11</v>
      </c>
      <c r="D482" s="1" t="s">
        <v>12</v>
      </c>
      <c r="E482" s="1">
        <v>44</v>
      </c>
      <c r="F482" s="1">
        <v>48</v>
      </c>
      <c r="G482" s="1">
        <v>68</v>
      </c>
      <c r="H482" s="1">
        <v>52</v>
      </c>
      <c r="I482" s="1">
        <v>94</v>
      </c>
    </row>
    <row r="483" spans="1:9" x14ac:dyDescent="0.25">
      <c r="A483" s="2" t="s">
        <v>104</v>
      </c>
      <c r="B483" s="2" t="s">
        <v>10</v>
      </c>
      <c r="C483" s="2" t="s">
        <v>13</v>
      </c>
      <c r="D483" s="2" t="s">
        <v>12</v>
      </c>
      <c r="E483" s="2">
        <v>14</v>
      </c>
      <c r="F483" s="2">
        <v>73</v>
      </c>
      <c r="G483" s="2">
        <v>62</v>
      </c>
      <c r="H483" s="2">
        <v>17</v>
      </c>
      <c r="I483" s="2">
        <v>75</v>
      </c>
    </row>
    <row r="484" spans="1:9" x14ac:dyDescent="0.25">
      <c r="A484" s="1" t="s">
        <v>104</v>
      </c>
      <c r="B484" s="1" t="s">
        <v>10</v>
      </c>
      <c r="C484" s="1" t="s">
        <v>14</v>
      </c>
      <c r="D484" s="1" t="s">
        <v>12</v>
      </c>
      <c r="E484" s="1">
        <v>33</v>
      </c>
      <c r="F484" s="1">
        <v>23</v>
      </c>
      <c r="G484" s="1">
        <v>47</v>
      </c>
      <c r="H484" s="1">
        <v>36</v>
      </c>
      <c r="I484" s="1">
        <v>11</v>
      </c>
    </row>
    <row r="485" spans="1:9" x14ac:dyDescent="0.25">
      <c r="A485" s="2" t="s">
        <v>104</v>
      </c>
      <c r="B485" s="2" t="s">
        <v>10</v>
      </c>
      <c r="C485" s="2" t="s">
        <v>15</v>
      </c>
      <c r="D485" s="2" t="s">
        <v>12</v>
      </c>
      <c r="E485" s="2">
        <v>28</v>
      </c>
      <c r="F485" s="2">
        <v>82</v>
      </c>
      <c r="G485" s="2">
        <v>39</v>
      </c>
      <c r="H485" s="2">
        <v>90</v>
      </c>
      <c r="I485" s="2">
        <v>49</v>
      </c>
    </row>
    <row r="486" spans="1:9" x14ac:dyDescent="0.25">
      <c r="A486" s="1" t="s">
        <v>104</v>
      </c>
      <c r="B486" s="1" t="s">
        <v>10</v>
      </c>
      <c r="C486" s="1" t="s">
        <v>16</v>
      </c>
      <c r="D486" s="1" t="s">
        <v>12</v>
      </c>
      <c r="E486" s="1">
        <v>72</v>
      </c>
      <c r="F486" s="1">
        <v>73</v>
      </c>
      <c r="G486" s="1">
        <v>83</v>
      </c>
      <c r="H486" s="1">
        <v>55</v>
      </c>
      <c r="I486" s="1">
        <v>19</v>
      </c>
    </row>
    <row r="487" spans="1:9" x14ac:dyDescent="0.25">
      <c r="A487" s="2" t="s">
        <v>104</v>
      </c>
      <c r="B487" s="2" t="s">
        <v>10</v>
      </c>
      <c r="C487" s="2" t="s">
        <v>17</v>
      </c>
      <c r="D487" s="2" t="s">
        <v>12</v>
      </c>
      <c r="E487" s="2">
        <v>38</v>
      </c>
      <c r="F487" s="2">
        <v>22</v>
      </c>
      <c r="G487" s="2">
        <v>19</v>
      </c>
      <c r="H487" s="2">
        <v>40</v>
      </c>
      <c r="I487" s="2">
        <v>16</v>
      </c>
    </row>
    <row r="488" spans="1:9" x14ac:dyDescent="0.25">
      <c r="A488" s="1" t="s">
        <v>104</v>
      </c>
      <c r="B488" s="1" t="s">
        <v>10</v>
      </c>
      <c r="C488" s="1" t="s">
        <v>18</v>
      </c>
      <c r="D488" s="1" t="s">
        <v>12</v>
      </c>
      <c r="E488" s="1">
        <v>23</v>
      </c>
      <c r="F488" s="1">
        <v>44</v>
      </c>
      <c r="G488" s="1">
        <v>83</v>
      </c>
      <c r="H488" s="1">
        <v>28</v>
      </c>
      <c r="I488" s="1">
        <v>29</v>
      </c>
    </row>
    <row r="489" spans="1:9" x14ac:dyDescent="0.25">
      <c r="A489" s="2" t="s">
        <v>104</v>
      </c>
      <c r="B489" s="2" t="s">
        <v>10</v>
      </c>
      <c r="C489" s="2" t="s">
        <v>19</v>
      </c>
      <c r="D489" s="2" t="s">
        <v>12</v>
      </c>
      <c r="E489" s="2">
        <v>91</v>
      </c>
      <c r="F489" s="2">
        <v>65</v>
      </c>
      <c r="G489" s="2">
        <v>26</v>
      </c>
      <c r="H489" s="2">
        <v>75</v>
      </c>
      <c r="I489" s="2">
        <v>51</v>
      </c>
    </row>
    <row r="490" spans="1:9" x14ac:dyDescent="0.25">
      <c r="A490" s="1" t="s">
        <v>104</v>
      </c>
      <c r="B490" s="1" t="s">
        <v>10</v>
      </c>
      <c r="C490" s="1" t="s">
        <v>20</v>
      </c>
      <c r="D490" s="1" t="s">
        <v>12</v>
      </c>
      <c r="E490" s="1">
        <v>61</v>
      </c>
      <c r="F490" s="1">
        <v>86</v>
      </c>
      <c r="G490" s="1">
        <v>42</v>
      </c>
      <c r="H490" s="1">
        <v>85</v>
      </c>
      <c r="I490" s="1">
        <v>43</v>
      </c>
    </row>
    <row r="491" spans="1:9" x14ac:dyDescent="0.25">
      <c r="A491" s="2" t="s">
        <v>104</v>
      </c>
      <c r="B491" s="2" t="s">
        <v>10</v>
      </c>
      <c r="C491" s="2" t="s">
        <v>21</v>
      </c>
      <c r="D491" s="2" t="s">
        <v>12</v>
      </c>
      <c r="E491" s="2">
        <v>86</v>
      </c>
      <c r="F491" s="2">
        <v>95</v>
      </c>
      <c r="G491" s="2">
        <v>49</v>
      </c>
      <c r="H491" s="2">
        <v>31</v>
      </c>
      <c r="I491" s="2">
        <v>38</v>
      </c>
    </row>
    <row r="492" spans="1:9" x14ac:dyDescent="0.25">
      <c r="A492" s="1" t="s">
        <v>104</v>
      </c>
      <c r="B492" s="1" t="s">
        <v>22</v>
      </c>
      <c r="C492" s="1" t="s">
        <v>23</v>
      </c>
      <c r="D492" s="1" t="s">
        <v>12</v>
      </c>
      <c r="E492" s="1">
        <v>10</v>
      </c>
      <c r="F492" s="1">
        <v>40</v>
      </c>
      <c r="G492" s="1">
        <v>49</v>
      </c>
      <c r="H492" s="1">
        <v>77</v>
      </c>
      <c r="I492" s="1">
        <v>13</v>
      </c>
    </row>
    <row r="493" spans="1:9" x14ac:dyDescent="0.25">
      <c r="A493" s="2" t="s">
        <v>104</v>
      </c>
      <c r="B493" s="2" t="s">
        <v>22</v>
      </c>
      <c r="C493" s="2" t="s">
        <v>24</v>
      </c>
      <c r="D493" s="2" t="s">
        <v>12</v>
      </c>
      <c r="E493" s="2">
        <v>86</v>
      </c>
      <c r="F493" s="2">
        <v>96</v>
      </c>
      <c r="G493" s="2">
        <v>29</v>
      </c>
      <c r="H493" s="2">
        <v>28</v>
      </c>
      <c r="I493" s="2">
        <v>24</v>
      </c>
    </row>
    <row r="494" spans="1:9" x14ac:dyDescent="0.25">
      <c r="A494" s="1" t="s">
        <v>104</v>
      </c>
      <c r="B494" s="1" t="s">
        <v>22</v>
      </c>
      <c r="C494" s="1" t="s">
        <v>25</v>
      </c>
      <c r="D494" s="1" t="s">
        <v>12</v>
      </c>
      <c r="E494" s="1">
        <v>50</v>
      </c>
      <c r="F494" s="1">
        <v>30</v>
      </c>
      <c r="G494" s="1">
        <v>33</v>
      </c>
      <c r="H494" s="1">
        <v>40</v>
      </c>
      <c r="I494" s="1">
        <v>56</v>
      </c>
    </row>
    <row r="495" spans="1:9" x14ac:dyDescent="0.25">
      <c r="A495" s="2" t="s">
        <v>104</v>
      </c>
      <c r="B495" s="2" t="s">
        <v>22</v>
      </c>
      <c r="C495" s="2" t="s">
        <v>26</v>
      </c>
      <c r="D495" s="2" t="s">
        <v>12</v>
      </c>
      <c r="E495" s="2">
        <v>25</v>
      </c>
      <c r="F495" s="2">
        <v>71</v>
      </c>
      <c r="G495" s="2">
        <v>36</v>
      </c>
      <c r="H495" s="2">
        <v>39</v>
      </c>
      <c r="I495" s="2">
        <v>80</v>
      </c>
    </row>
    <row r="496" spans="1:9" x14ac:dyDescent="0.25">
      <c r="A496" s="1" t="s">
        <v>104</v>
      </c>
      <c r="B496" s="1" t="s">
        <v>22</v>
      </c>
      <c r="C496" s="1" t="s">
        <v>27</v>
      </c>
      <c r="D496" s="1" t="s">
        <v>12</v>
      </c>
      <c r="E496" s="1">
        <v>54</v>
      </c>
      <c r="F496" s="1">
        <v>16</v>
      </c>
      <c r="G496" s="1">
        <v>62</v>
      </c>
      <c r="H496" s="1">
        <v>30</v>
      </c>
      <c r="I496" s="1">
        <v>57</v>
      </c>
    </row>
    <row r="497" spans="1:9" x14ac:dyDescent="0.25">
      <c r="A497" s="2" t="s">
        <v>104</v>
      </c>
      <c r="B497" s="2" t="s">
        <v>22</v>
      </c>
      <c r="C497" s="2" t="s">
        <v>28</v>
      </c>
      <c r="D497" s="2" t="s">
        <v>12</v>
      </c>
      <c r="E497" s="2">
        <v>35</v>
      </c>
      <c r="F497" s="2">
        <v>29</v>
      </c>
      <c r="G497" s="2">
        <v>30</v>
      </c>
      <c r="H497" s="2">
        <v>13</v>
      </c>
      <c r="I497" s="2">
        <v>36</v>
      </c>
    </row>
    <row r="498" spans="1:9" x14ac:dyDescent="0.25">
      <c r="A498" s="1" t="s">
        <v>104</v>
      </c>
      <c r="B498" s="1" t="s">
        <v>22</v>
      </c>
      <c r="C498" s="1" t="s">
        <v>29</v>
      </c>
      <c r="D498" s="1" t="s">
        <v>12</v>
      </c>
      <c r="E498" s="1">
        <v>83</v>
      </c>
      <c r="F498" s="1">
        <v>64</v>
      </c>
      <c r="G498" s="1">
        <v>17</v>
      </c>
      <c r="H498" s="1">
        <v>82</v>
      </c>
      <c r="I498" s="1">
        <v>11</v>
      </c>
    </row>
    <row r="499" spans="1:9" x14ac:dyDescent="0.25">
      <c r="A499" s="2" t="s">
        <v>104</v>
      </c>
      <c r="B499" s="2" t="s">
        <v>22</v>
      </c>
      <c r="C499" s="2" t="s">
        <v>30</v>
      </c>
      <c r="D499" s="2" t="s">
        <v>12</v>
      </c>
      <c r="E499" s="2">
        <v>87</v>
      </c>
      <c r="F499" s="2">
        <v>83</v>
      </c>
      <c r="G499" s="2">
        <v>75</v>
      </c>
      <c r="H499" s="2">
        <v>99</v>
      </c>
      <c r="I499" s="2">
        <v>18</v>
      </c>
    </row>
    <row r="500" spans="1:9" x14ac:dyDescent="0.25">
      <c r="A500" s="1" t="s">
        <v>104</v>
      </c>
      <c r="B500" s="1" t="s">
        <v>22</v>
      </c>
      <c r="C500" s="1" t="s">
        <v>31</v>
      </c>
      <c r="D500" s="1" t="s">
        <v>12</v>
      </c>
      <c r="E500" s="1">
        <v>99</v>
      </c>
      <c r="F500" s="1">
        <v>80</v>
      </c>
      <c r="G500" s="1">
        <v>39</v>
      </c>
      <c r="H500" s="1">
        <v>47</v>
      </c>
      <c r="I500" s="1">
        <v>35</v>
      </c>
    </row>
    <row r="501" spans="1:9" x14ac:dyDescent="0.25">
      <c r="A501" s="2" t="s">
        <v>104</v>
      </c>
      <c r="B501" s="2" t="s">
        <v>22</v>
      </c>
      <c r="C501" s="2" t="s">
        <v>32</v>
      </c>
      <c r="D501" s="2" t="s">
        <v>12</v>
      </c>
      <c r="E501" s="2">
        <v>69</v>
      </c>
      <c r="F501" s="2">
        <v>83</v>
      </c>
      <c r="G501" s="2">
        <v>96</v>
      </c>
      <c r="H501" s="2">
        <v>92</v>
      </c>
      <c r="I501" s="2">
        <v>28</v>
      </c>
    </row>
    <row r="502" spans="1:9" x14ac:dyDescent="0.25">
      <c r="A502" s="1" t="s">
        <v>104</v>
      </c>
      <c r="B502" s="1" t="s">
        <v>33</v>
      </c>
      <c r="C502" s="1" t="s">
        <v>34</v>
      </c>
      <c r="D502" s="1" t="s">
        <v>12</v>
      </c>
      <c r="E502" s="1">
        <v>92</v>
      </c>
      <c r="F502" s="1">
        <v>47</v>
      </c>
      <c r="G502" s="1">
        <v>59</v>
      </c>
      <c r="H502" s="1">
        <v>62</v>
      </c>
      <c r="I502" s="1">
        <v>59</v>
      </c>
    </row>
    <row r="503" spans="1:9" x14ac:dyDescent="0.25">
      <c r="A503" s="2" t="s">
        <v>104</v>
      </c>
      <c r="B503" s="2" t="s">
        <v>33</v>
      </c>
      <c r="C503" s="2" t="s">
        <v>35</v>
      </c>
      <c r="D503" s="2" t="s">
        <v>12</v>
      </c>
      <c r="E503" s="2">
        <v>33</v>
      </c>
      <c r="F503" s="2">
        <v>47</v>
      </c>
      <c r="G503" s="2">
        <v>63</v>
      </c>
      <c r="H503" s="2">
        <v>73</v>
      </c>
      <c r="I503" s="2">
        <v>81</v>
      </c>
    </row>
    <row r="504" spans="1:9" x14ac:dyDescent="0.25">
      <c r="A504" s="1" t="s">
        <v>104</v>
      </c>
      <c r="B504" s="1" t="s">
        <v>33</v>
      </c>
      <c r="C504" s="1" t="s">
        <v>36</v>
      </c>
      <c r="D504" s="1" t="s">
        <v>12</v>
      </c>
      <c r="E504" s="1">
        <v>17</v>
      </c>
      <c r="F504" s="1">
        <v>12</v>
      </c>
      <c r="G504" s="1">
        <v>86</v>
      </c>
      <c r="H504" s="1">
        <v>45</v>
      </c>
      <c r="I504" s="1">
        <v>89</v>
      </c>
    </row>
    <row r="505" spans="1:9" x14ac:dyDescent="0.25">
      <c r="A505" s="2" t="s">
        <v>104</v>
      </c>
      <c r="B505" s="2" t="s">
        <v>33</v>
      </c>
      <c r="C505" s="2" t="s">
        <v>37</v>
      </c>
      <c r="D505" s="2" t="s">
        <v>12</v>
      </c>
      <c r="E505" s="2">
        <v>29</v>
      </c>
      <c r="F505" s="2">
        <v>73</v>
      </c>
      <c r="G505" s="2">
        <v>78</v>
      </c>
      <c r="H505" s="2">
        <v>68</v>
      </c>
      <c r="I505" s="2">
        <v>83</v>
      </c>
    </row>
    <row r="506" spans="1:9" x14ac:dyDescent="0.25">
      <c r="A506" s="1" t="s">
        <v>104</v>
      </c>
      <c r="B506" s="1" t="s">
        <v>33</v>
      </c>
      <c r="C506" s="1" t="s">
        <v>38</v>
      </c>
      <c r="D506" s="1" t="s">
        <v>12</v>
      </c>
      <c r="E506" s="1">
        <v>11</v>
      </c>
      <c r="F506" s="1">
        <v>30</v>
      </c>
      <c r="G506" s="1">
        <v>52</v>
      </c>
      <c r="H506" s="1">
        <v>41</v>
      </c>
      <c r="I506" s="1">
        <v>82</v>
      </c>
    </row>
    <row r="507" spans="1:9" x14ac:dyDescent="0.25">
      <c r="A507" s="2" t="s">
        <v>104</v>
      </c>
      <c r="B507" s="2" t="s">
        <v>33</v>
      </c>
      <c r="C507" s="2" t="s">
        <v>39</v>
      </c>
      <c r="D507" s="2" t="s">
        <v>12</v>
      </c>
      <c r="E507" s="2">
        <v>89</v>
      </c>
      <c r="F507" s="2">
        <v>21</v>
      </c>
      <c r="G507" s="2">
        <v>19</v>
      </c>
      <c r="H507" s="2">
        <v>81</v>
      </c>
      <c r="I507" s="2">
        <v>59</v>
      </c>
    </row>
    <row r="508" spans="1:9" x14ac:dyDescent="0.25">
      <c r="A508" s="1" t="s">
        <v>104</v>
      </c>
      <c r="B508" s="1" t="s">
        <v>33</v>
      </c>
      <c r="C508" s="1" t="s">
        <v>40</v>
      </c>
      <c r="D508" s="1" t="s">
        <v>12</v>
      </c>
      <c r="E508" s="1">
        <v>99</v>
      </c>
      <c r="F508" s="1">
        <v>56</v>
      </c>
      <c r="G508" s="1">
        <v>77</v>
      </c>
      <c r="H508" s="1">
        <v>42</v>
      </c>
      <c r="I508" s="1">
        <v>53</v>
      </c>
    </row>
    <row r="509" spans="1:9" x14ac:dyDescent="0.25">
      <c r="A509" s="2" t="s">
        <v>104</v>
      </c>
      <c r="B509" s="2" t="s">
        <v>33</v>
      </c>
      <c r="C509" s="2" t="s">
        <v>41</v>
      </c>
      <c r="D509" s="2" t="s">
        <v>12</v>
      </c>
      <c r="E509" s="2">
        <v>51</v>
      </c>
      <c r="F509" s="2">
        <v>91</v>
      </c>
      <c r="G509" s="2">
        <v>100</v>
      </c>
      <c r="H509" s="2">
        <v>99</v>
      </c>
      <c r="I509" s="2">
        <v>22</v>
      </c>
    </row>
    <row r="510" spans="1:9" x14ac:dyDescent="0.25">
      <c r="A510" s="1" t="s">
        <v>104</v>
      </c>
      <c r="B510" s="1" t="s">
        <v>33</v>
      </c>
      <c r="C510" s="1" t="s">
        <v>42</v>
      </c>
      <c r="D510" s="1" t="s">
        <v>12</v>
      </c>
      <c r="E510" s="1">
        <v>44</v>
      </c>
      <c r="F510" s="1">
        <v>33</v>
      </c>
      <c r="G510" s="1">
        <v>84</v>
      </c>
      <c r="H510" s="1">
        <v>49</v>
      </c>
      <c r="I510" s="1">
        <v>18</v>
      </c>
    </row>
    <row r="511" spans="1:9" x14ac:dyDescent="0.25">
      <c r="A511" s="2" t="s">
        <v>104</v>
      </c>
      <c r="B511" s="2" t="s">
        <v>33</v>
      </c>
      <c r="C511" s="2" t="s">
        <v>43</v>
      </c>
      <c r="D511" s="2" t="s">
        <v>12</v>
      </c>
      <c r="E511" s="2">
        <v>77</v>
      </c>
      <c r="F511" s="2">
        <v>30</v>
      </c>
      <c r="G511" s="2">
        <v>78</v>
      </c>
      <c r="H511" s="2">
        <v>12</v>
      </c>
      <c r="I511" s="2">
        <v>42</v>
      </c>
    </row>
    <row r="512" spans="1:9" x14ac:dyDescent="0.25">
      <c r="A512" s="1" t="s">
        <v>104</v>
      </c>
      <c r="B512" s="1" t="s">
        <v>44</v>
      </c>
      <c r="C512" s="1" t="s">
        <v>45</v>
      </c>
      <c r="D512" s="1" t="s">
        <v>12</v>
      </c>
      <c r="E512" s="1">
        <v>45</v>
      </c>
      <c r="F512" s="1">
        <v>82</v>
      </c>
      <c r="G512" s="1">
        <v>37</v>
      </c>
      <c r="H512" s="1">
        <v>46</v>
      </c>
      <c r="I512" s="1">
        <v>19</v>
      </c>
    </row>
    <row r="513" spans="1:9" x14ac:dyDescent="0.25">
      <c r="A513" s="2" t="s">
        <v>104</v>
      </c>
      <c r="B513" s="2" t="s">
        <v>44</v>
      </c>
      <c r="C513" s="2" t="s">
        <v>46</v>
      </c>
      <c r="D513" s="2" t="s">
        <v>12</v>
      </c>
      <c r="E513" s="2">
        <v>38</v>
      </c>
      <c r="F513" s="2">
        <v>45</v>
      </c>
      <c r="G513" s="2">
        <v>72</v>
      </c>
      <c r="H513" s="2">
        <v>46</v>
      </c>
      <c r="I513" s="2">
        <v>50</v>
      </c>
    </row>
    <row r="514" spans="1:9" x14ac:dyDescent="0.25">
      <c r="A514" s="1" t="s">
        <v>104</v>
      </c>
      <c r="B514" s="1" t="s">
        <v>44</v>
      </c>
      <c r="C514" s="1" t="s">
        <v>47</v>
      </c>
      <c r="D514" s="1" t="s">
        <v>12</v>
      </c>
      <c r="E514" s="1">
        <v>56</v>
      </c>
      <c r="F514" s="1">
        <v>76</v>
      </c>
      <c r="G514" s="1">
        <v>49</v>
      </c>
      <c r="H514" s="1">
        <v>92</v>
      </c>
      <c r="I514" s="1">
        <v>16</v>
      </c>
    </row>
    <row r="515" spans="1:9" x14ac:dyDescent="0.25">
      <c r="A515" s="2" t="s">
        <v>104</v>
      </c>
      <c r="B515" s="2" t="s">
        <v>44</v>
      </c>
      <c r="C515" s="2" t="s">
        <v>48</v>
      </c>
      <c r="D515" s="2" t="s">
        <v>12</v>
      </c>
      <c r="E515" s="2">
        <v>45</v>
      </c>
      <c r="F515" s="2">
        <v>25</v>
      </c>
      <c r="G515" s="2">
        <v>50</v>
      </c>
      <c r="H515" s="2">
        <v>52</v>
      </c>
      <c r="I515" s="2">
        <v>71</v>
      </c>
    </row>
    <row r="516" spans="1:9" x14ac:dyDescent="0.25">
      <c r="A516" s="1" t="s">
        <v>104</v>
      </c>
      <c r="B516" s="1" t="s">
        <v>44</v>
      </c>
      <c r="C516" s="1" t="s">
        <v>49</v>
      </c>
      <c r="D516" s="1" t="s">
        <v>12</v>
      </c>
      <c r="E516" s="1">
        <v>45</v>
      </c>
      <c r="F516" s="1">
        <v>65</v>
      </c>
      <c r="G516" s="1">
        <v>42</v>
      </c>
      <c r="H516" s="1">
        <v>97</v>
      </c>
      <c r="I516" s="1">
        <v>90</v>
      </c>
    </row>
    <row r="517" spans="1:9" x14ac:dyDescent="0.25">
      <c r="A517" s="2" t="s">
        <v>104</v>
      </c>
      <c r="B517" s="2" t="s">
        <v>44</v>
      </c>
      <c r="C517" s="2" t="s">
        <v>50</v>
      </c>
      <c r="D517" s="2" t="s">
        <v>12</v>
      </c>
      <c r="E517" s="2">
        <v>53</v>
      </c>
      <c r="F517" s="2">
        <v>70</v>
      </c>
      <c r="G517" s="2">
        <v>79</v>
      </c>
      <c r="H517" s="2">
        <v>42</v>
      </c>
      <c r="I517" s="2">
        <v>13</v>
      </c>
    </row>
    <row r="518" spans="1:9" x14ac:dyDescent="0.25">
      <c r="A518" s="1" t="s">
        <v>104</v>
      </c>
      <c r="B518" s="1" t="s">
        <v>44</v>
      </c>
      <c r="C518" s="1" t="s">
        <v>51</v>
      </c>
      <c r="D518" s="1" t="s">
        <v>12</v>
      </c>
      <c r="E518" s="1">
        <v>78</v>
      </c>
      <c r="F518" s="1">
        <v>13</v>
      </c>
      <c r="G518" s="1">
        <v>48</v>
      </c>
      <c r="H518" s="1">
        <v>71</v>
      </c>
      <c r="I518" s="1">
        <v>28</v>
      </c>
    </row>
    <row r="519" spans="1:9" x14ac:dyDescent="0.25">
      <c r="A519" s="2" t="s">
        <v>104</v>
      </c>
      <c r="B519" s="2" t="s">
        <v>44</v>
      </c>
      <c r="C519" s="2" t="s">
        <v>52</v>
      </c>
      <c r="D519" s="2" t="s">
        <v>12</v>
      </c>
      <c r="E519" s="2">
        <v>88</v>
      </c>
      <c r="F519" s="2">
        <v>46</v>
      </c>
      <c r="G519" s="2">
        <v>58</v>
      </c>
      <c r="H519" s="2">
        <v>30</v>
      </c>
      <c r="I519" s="2">
        <v>88</v>
      </c>
    </row>
    <row r="520" spans="1:9" x14ac:dyDescent="0.25">
      <c r="A520" s="1" t="s">
        <v>104</v>
      </c>
      <c r="B520" s="1" t="s">
        <v>44</v>
      </c>
      <c r="C520" s="1" t="s">
        <v>53</v>
      </c>
      <c r="D520" s="1" t="s">
        <v>12</v>
      </c>
      <c r="E520" s="1">
        <v>89</v>
      </c>
      <c r="F520" s="1">
        <v>33</v>
      </c>
      <c r="G520" s="1">
        <v>37</v>
      </c>
      <c r="H520" s="1">
        <v>36</v>
      </c>
      <c r="I520" s="1">
        <v>54</v>
      </c>
    </row>
    <row r="521" spans="1:9" x14ac:dyDescent="0.25">
      <c r="A521" s="2" t="s">
        <v>104</v>
      </c>
      <c r="B521" s="2" t="s">
        <v>44</v>
      </c>
      <c r="C521" s="2" t="s">
        <v>54</v>
      </c>
      <c r="D521" s="2" t="s">
        <v>12</v>
      </c>
      <c r="E521" s="2">
        <v>93</v>
      </c>
      <c r="F521" s="2">
        <v>65</v>
      </c>
      <c r="G521" s="2">
        <v>47</v>
      </c>
      <c r="H521" s="2">
        <v>90</v>
      </c>
      <c r="I521" s="2">
        <v>54</v>
      </c>
    </row>
    <row r="522" spans="1:9" x14ac:dyDescent="0.25">
      <c r="A522" s="1" t="s">
        <v>104</v>
      </c>
      <c r="B522" s="1" t="s">
        <v>55</v>
      </c>
      <c r="C522" s="1" t="s">
        <v>56</v>
      </c>
      <c r="D522" s="1" t="s">
        <v>12</v>
      </c>
      <c r="E522" s="1">
        <v>36</v>
      </c>
      <c r="F522" s="1">
        <v>26</v>
      </c>
      <c r="G522" s="1">
        <v>53</v>
      </c>
      <c r="H522" s="1">
        <v>85</v>
      </c>
      <c r="I522" s="1">
        <v>87</v>
      </c>
    </row>
    <row r="523" spans="1:9" x14ac:dyDescent="0.25">
      <c r="A523" s="2" t="s">
        <v>104</v>
      </c>
      <c r="B523" s="2" t="s">
        <v>55</v>
      </c>
      <c r="C523" s="2" t="s">
        <v>57</v>
      </c>
      <c r="D523" s="2" t="s">
        <v>12</v>
      </c>
      <c r="E523" s="2">
        <v>72</v>
      </c>
      <c r="F523" s="2">
        <v>89</v>
      </c>
      <c r="G523" s="2">
        <v>33</v>
      </c>
      <c r="H523" s="2">
        <v>76</v>
      </c>
      <c r="I523" s="2">
        <v>65</v>
      </c>
    </row>
    <row r="524" spans="1:9" x14ac:dyDescent="0.25">
      <c r="A524" s="1" t="s">
        <v>104</v>
      </c>
      <c r="B524" s="1" t="s">
        <v>55</v>
      </c>
      <c r="C524" s="1" t="s">
        <v>58</v>
      </c>
      <c r="D524" s="1" t="s">
        <v>12</v>
      </c>
      <c r="E524" s="1">
        <v>10</v>
      </c>
      <c r="F524" s="1">
        <v>82</v>
      </c>
      <c r="G524" s="1">
        <v>70</v>
      </c>
      <c r="H524" s="1">
        <v>20</v>
      </c>
      <c r="I524" s="1">
        <v>63</v>
      </c>
    </row>
    <row r="525" spans="1:9" x14ac:dyDescent="0.25">
      <c r="A525" s="2" t="s">
        <v>104</v>
      </c>
      <c r="B525" s="2" t="s">
        <v>55</v>
      </c>
      <c r="C525" s="2" t="s">
        <v>59</v>
      </c>
      <c r="D525" s="2" t="s">
        <v>12</v>
      </c>
      <c r="E525" s="2">
        <v>64</v>
      </c>
      <c r="F525" s="2">
        <v>54</v>
      </c>
      <c r="G525" s="2">
        <v>39</v>
      </c>
      <c r="H525" s="2">
        <v>20</v>
      </c>
      <c r="I525" s="2">
        <v>61</v>
      </c>
    </row>
    <row r="526" spans="1:9" x14ac:dyDescent="0.25">
      <c r="A526" s="1" t="s">
        <v>104</v>
      </c>
      <c r="B526" s="1" t="s">
        <v>55</v>
      </c>
      <c r="C526" s="1" t="s">
        <v>60</v>
      </c>
      <c r="D526" s="1" t="s">
        <v>12</v>
      </c>
      <c r="E526" s="1">
        <v>14</v>
      </c>
      <c r="F526" s="1">
        <v>10</v>
      </c>
      <c r="G526" s="1">
        <v>43</v>
      </c>
      <c r="H526" s="1">
        <v>67</v>
      </c>
      <c r="I526" s="1">
        <v>96</v>
      </c>
    </row>
    <row r="527" spans="1:9" x14ac:dyDescent="0.25">
      <c r="A527" s="2" t="s">
        <v>104</v>
      </c>
      <c r="B527" s="2" t="s">
        <v>55</v>
      </c>
      <c r="C527" s="2" t="s">
        <v>61</v>
      </c>
      <c r="D527" s="2" t="s">
        <v>12</v>
      </c>
      <c r="E527" s="2">
        <v>75</v>
      </c>
      <c r="F527" s="2">
        <v>91</v>
      </c>
      <c r="G527" s="2">
        <v>96</v>
      </c>
      <c r="H527" s="2">
        <v>42</v>
      </c>
      <c r="I527" s="2">
        <v>14</v>
      </c>
    </row>
    <row r="528" spans="1:9" x14ac:dyDescent="0.25">
      <c r="A528" s="1" t="s">
        <v>104</v>
      </c>
      <c r="B528" s="1" t="s">
        <v>55</v>
      </c>
      <c r="C528" s="1" t="s">
        <v>62</v>
      </c>
      <c r="D528" s="1" t="s">
        <v>12</v>
      </c>
      <c r="E528" s="1">
        <v>35</v>
      </c>
      <c r="F528" s="1">
        <v>74</v>
      </c>
      <c r="G528" s="1">
        <v>56</v>
      </c>
      <c r="H528" s="1">
        <v>58</v>
      </c>
      <c r="I528" s="1">
        <v>87</v>
      </c>
    </row>
    <row r="529" spans="1:9" x14ac:dyDescent="0.25">
      <c r="A529" s="2" t="s">
        <v>104</v>
      </c>
      <c r="B529" s="2" t="s">
        <v>55</v>
      </c>
      <c r="C529" s="2" t="s">
        <v>63</v>
      </c>
      <c r="D529" s="2" t="s">
        <v>12</v>
      </c>
      <c r="E529" s="2">
        <v>14</v>
      </c>
      <c r="F529" s="2">
        <v>16</v>
      </c>
      <c r="G529" s="2">
        <v>70</v>
      </c>
      <c r="H529" s="2">
        <v>52</v>
      </c>
      <c r="I529" s="2">
        <v>81</v>
      </c>
    </row>
    <row r="530" spans="1:9" x14ac:dyDescent="0.25">
      <c r="A530" s="1" t="s">
        <v>104</v>
      </c>
      <c r="B530" s="1" t="s">
        <v>55</v>
      </c>
      <c r="C530" s="1" t="s">
        <v>64</v>
      </c>
      <c r="D530" s="1" t="s">
        <v>12</v>
      </c>
      <c r="E530" s="1">
        <v>82</v>
      </c>
      <c r="F530" s="1">
        <v>30</v>
      </c>
      <c r="G530" s="1">
        <v>78</v>
      </c>
      <c r="H530" s="1">
        <v>82</v>
      </c>
      <c r="I530" s="1">
        <v>58</v>
      </c>
    </row>
    <row r="531" spans="1:9" x14ac:dyDescent="0.25">
      <c r="A531" s="2" t="s">
        <v>104</v>
      </c>
      <c r="B531" s="2" t="s">
        <v>55</v>
      </c>
      <c r="C531" s="2" t="s">
        <v>65</v>
      </c>
      <c r="D531" s="2" t="s">
        <v>12</v>
      </c>
      <c r="E531" s="2">
        <v>49</v>
      </c>
      <c r="F531" s="2">
        <v>84</v>
      </c>
      <c r="G531" s="2">
        <v>39</v>
      </c>
      <c r="H531" s="2">
        <v>41</v>
      </c>
      <c r="I531" s="2">
        <v>65</v>
      </c>
    </row>
    <row r="532" spans="1:9" x14ac:dyDescent="0.25">
      <c r="A532" s="1" t="s">
        <v>104</v>
      </c>
      <c r="B532" s="1" t="s">
        <v>66</v>
      </c>
      <c r="C532" s="1" t="s">
        <v>67</v>
      </c>
      <c r="D532" s="1" t="s">
        <v>12</v>
      </c>
      <c r="E532" s="1">
        <v>94</v>
      </c>
      <c r="F532" s="1">
        <v>61</v>
      </c>
      <c r="G532" s="1">
        <v>21</v>
      </c>
      <c r="H532" s="1">
        <v>39</v>
      </c>
      <c r="I532" s="1">
        <v>75</v>
      </c>
    </row>
    <row r="533" spans="1:9" x14ac:dyDescent="0.25">
      <c r="A533" s="2" t="s">
        <v>104</v>
      </c>
      <c r="B533" s="2" t="s">
        <v>66</v>
      </c>
      <c r="C533" s="2" t="s">
        <v>68</v>
      </c>
      <c r="D533" s="2" t="s">
        <v>12</v>
      </c>
      <c r="E533" s="2">
        <v>78</v>
      </c>
      <c r="F533" s="2">
        <v>50</v>
      </c>
      <c r="G533" s="2">
        <v>31</v>
      </c>
      <c r="H533" s="2">
        <v>22</v>
      </c>
      <c r="I533" s="2">
        <v>38</v>
      </c>
    </row>
    <row r="534" spans="1:9" x14ac:dyDescent="0.25">
      <c r="A534" s="1" t="s">
        <v>104</v>
      </c>
      <c r="B534" s="1" t="s">
        <v>66</v>
      </c>
      <c r="C534" s="1" t="s">
        <v>69</v>
      </c>
      <c r="D534" s="1" t="s">
        <v>12</v>
      </c>
      <c r="E534" s="1">
        <v>16</v>
      </c>
      <c r="F534" s="1">
        <v>79</v>
      </c>
      <c r="G534" s="1">
        <v>63</v>
      </c>
      <c r="H534" s="1">
        <v>39</v>
      </c>
      <c r="I534" s="1">
        <v>15</v>
      </c>
    </row>
    <row r="535" spans="1:9" x14ac:dyDescent="0.25">
      <c r="A535" s="2" t="s">
        <v>104</v>
      </c>
      <c r="B535" s="2" t="s">
        <v>66</v>
      </c>
      <c r="C535" s="2" t="s">
        <v>70</v>
      </c>
      <c r="D535" s="2" t="s">
        <v>12</v>
      </c>
      <c r="E535" s="2">
        <v>56</v>
      </c>
      <c r="F535" s="2">
        <v>69</v>
      </c>
      <c r="G535" s="2">
        <v>77</v>
      </c>
      <c r="H535" s="2">
        <v>74</v>
      </c>
      <c r="I535" s="2">
        <v>49</v>
      </c>
    </row>
    <row r="536" spans="1:9" x14ac:dyDescent="0.25">
      <c r="A536" s="1" t="s">
        <v>104</v>
      </c>
      <c r="B536" s="1" t="s">
        <v>66</v>
      </c>
      <c r="C536" s="1" t="s">
        <v>71</v>
      </c>
      <c r="D536" s="1" t="s">
        <v>12</v>
      </c>
      <c r="E536" s="1">
        <v>21</v>
      </c>
      <c r="F536" s="1">
        <v>26</v>
      </c>
      <c r="G536" s="1">
        <v>68</v>
      </c>
      <c r="H536" s="1">
        <v>86</v>
      </c>
      <c r="I536" s="1">
        <v>92</v>
      </c>
    </row>
    <row r="537" spans="1:9" x14ac:dyDescent="0.25">
      <c r="A537" s="2" t="s">
        <v>104</v>
      </c>
      <c r="B537" s="2" t="s">
        <v>66</v>
      </c>
      <c r="C537" s="2" t="s">
        <v>72</v>
      </c>
      <c r="D537" s="2" t="s">
        <v>12</v>
      </c>
      <c r="E537" s="2">
        <v>60</v>
      </c>
      <c r="F537" s="2">
        <v>83</v>
      </c>
      <c r="G537" s="2">
        <v>46</v>
      </c>
      <c r="H537" s="2">
        <v>93</v>
      </c>
      <c r="I537" s="2">
        <v>34</v>
      </c>
    </row>
    <row r="538" spans="1:9" x14ac:dyDescent="0.25">
      <c r="A538" s="1" t="s">
        <v>104</v>
      </c>
      <c r="B538" s="1" t="s">
        <v>66</v>
      </c>
      <c r="C538" s="1" t="s">
        <v>73</v>
      </c>
      <c r="D538" s="1" t="s">
        <v>12</v>
      </c>
      <c r="E538" s="1">
        <v>54</v>
      </c>
      <c r="F538" s="1">
        <v>83</v>
      </c>
      <c r="G538" s="1">
        <v>32</v>
      </c>
      <c r="H538" s="1">
        <v>35</v>
      </c>
      <c r="I538" s="1">
        <v>29</v>
      </c>
    </row>
    <row r="539" spans="1:9" x14ac:dyDescent="0.25">
      <c r="A539" s="2" t="s">
        <v>104</v>
      </c>
      <c r="B539" s="2" t="s">
        <v>66</v>
      </c>
      <c r="C539" s="2" t="s">
        <v>74</v>
      </c>
      <c r="D539" s="2" t="s">
        <v>12</v>
      </c>
      <c r="E539" s="2">
        <v>73</v>
      </c>
      <c r="F539" s="2">
        <v>10</v>
      </c>
      <c r="G539" s="2">
        <v>31</v>
      </c>
      <c r="H539" s="2">
        <v>79</v>
      </c>
      <c r="I539" s="2">
        <v>25</v>
      </c>
    </row>
    <row r="540" spans="1:9" x14ac:dyDescent="0.25">
      <c r="A540" s="1" t="s">
        <v>104</v>
      </c>
      <c r="B540" s="1" t="s">
        <v>66</v>
      </c>
      <c r="C540" s="1" t="s">
        <v>75</v>
      </c>
      <c r="D540" s="1" t="s">
        <v>12</v>
      </c>
      <c r="E540" s="1">
        <v>52</v>
      </c>
      <c r="F540" s="1">
        <v>48</v>
      </c>
      <c r="G540" s="1">
        <v>55</v>
      </c>
      <c r="H540" s="1">
        <v>70</v>
      </c>
      <c r="I540" s="1">
        <v>60</v>
      </c>
    </row>
    <row r="541" spans="1:9" x14ac:dyDescent="0.25">
      <c r="A541" s="2" t="s">
        <v>104</v>
      </c>
      <c r="B541" s="2" t="s">
        <v>66</v>
      </c>
      <c r="C541" s="2" t="s">
        <v>76</v>
      </c>
      <c r="D541" s="2" t="s">
        <v>12</v>
      </c>
      <c r="E541" s="2">
        <v>69</v>
      </c>
      <c r="F541" s="2">
        <v>19</v>
      </c>
      <c r="G541" s="2">
        <v>42</v>
      </c>
      <c r="H541" s="2">
        <v>38</v>
      </c>
      <c r="I541" s="2">
        <v>56</v>
      </c>
    </row>
    <row r="542" spans="1:9" x14ac:dyDescent="0.25">
      <c r="A542" s="1" t="s">
        <v>104</v>
      </c>
      <c r="B542" s="1" t="s">
        <v>77</v>
      </c>
      <c r="C542" s="1" t="s">
        <v>78</v>
      </c>
      <c r="D542" s="1" t="s">
        <v>12</v>
      </c>
      <c r="E542" s="1">
        <v>98</v>
      </c>
      <c r="F542" s="1">
        <v>19</v>
      </c>
      <c r="G542" s="1">
        <v>24</v>
      </c>
      <c r="H542" s="1">
        <v>65</v>
      </c>
      <c r="I542" s="1">
        <v>95</v>
      </c>
    </row>
    <row r="543" spans="1:9" x14ac:dyDescent="0.25">
      <c r="A543" s="2" t="s">
        <v>104</v>
      </c>
      <c r="B543" s="2" t="s">
        <v>77</v>
      </c>
      <c r="C543" s="2" t="s">
        <v>79</v>
      </c>
      <c r="D543" s="2" t="s">
        <v>12</v>
      </c>
      <c r="E543" s="2">
        <v>60</v>
      </c>
      <c r="F543" s="2">
        <v>93</v>
      </c>
      <c r="G543" s="2">
        <v>45</v>
      </c>
      <c r="H543" s="2">
        <v>71</v>
      </c>
      <c r="I543" s="2">
        <v>11</v>
      </c>
    </row>
    <row r="544" spans="1:9" x14ac:dyDescent="0.25">
      <c r="A544" s="1" t="s">
        <v>104</v>
      </c>
      <c r="B544" s="1" t="s">
        <v>77</v>
      </c>
      <c r="C544" s="1" t="s">
        <v>80</v>
      </c>
      <c r="D544" s="1" t="s">
        <v>12</v>
      </c>
      <c r="E544" s="1">
        <v>93</v>
      </c>
      <c r="F544" s="1">
        <v>56</v>
      </c>
      <c r="G544" s="1">
        <v>66</v>
      </c>
      <c r="H544" s="1">
        <v>32</v>
      </c>
      <c r="I544" s="1">
        <v>90</v>
      </c>
    </row>
    <row r="545" spans="1:9" x14ac:dyDescent="0.25">
      <c r="A545" s="2" t="s">
        <v>104</v>
      </c>
      <c r="B545" s="2" t="s">
        <v>77</v>
      </c>
      <c r="C545" s="2" t="s">
        <v>81</v>
      </c>
      <c r="D545" s="2" t="s">
        <v>12</v>
      </c>
      <c r="E545" s="2">
        <v>77</v>
      </c>
      <c r="F545" s="2">
        <v>78</v>
      </c>
      <c r="G545" s="2">
        <v>86</v>
      </c>
      <c r="H545" s="2">
        <v>89</v>
      </c>
      <c r="I545" s="2">
        <v>49</v>
      </c>
    </row>
    <row r="546" spans="1:9" x14ac:dyDescent="0.25">
      <c r="A546" s="1" t="s">
        <v>104</v>
      </c>
      <c r="B546" s="1" t="s">
        <v>77</v>
      </c>
      <c r="C546" s="1" t="s">
        <v>82</v>
      </c>
      <c r="D546" s="1" t="s">
        <v>12</v>
      </c>
      <c r="E546" s="1">
        <v>86</v>
      </c>
      <c r="F546" s="1">
        <v>64</v>
      </c>
      <c r="G546" s="1">
        <v>14</v>
      </c>
      <c r="H546" s="1">
        <v>91</v>
      </c>
      <c r="I546" s="1">
        <v>85</v>
      </c>
    </row>
    <row r="547" spans="1:9" x14ac:dyDescent="0.25">
      <c r="A547" s="2" t="s">
        <v>104</v>
      </c>
      <c r="B547" s="2" t="s">
        <v>77</v>
      </c>
      <c r="C547" s="2" t="s">
        <v>83</v>
      </c>
      <c r="D547" s="2" t="s">
        <v>12</v>
      </c>
      <c r="E547" s="2">
        <v>76</v>
      </c>
      <c r="F547" s="2">
        <v>40</v>
      </c>
      <c r="G547" s="2">
        <v>13</v>
      </c>
      <c r="H547" s="2">
        <v>27</v>
      </c>
      <c r="I547" s="2">
        <v>87</v>
      </c>
    </row>
    <row r="548" spans="1:9" x14ac:dyDescent="0.25">
      <c r="A548" s="1" t="s">
        <v>104</v>
      </c>
      <c r="B548" s="1" t="s">
        <v>77</v>
      </c>
      <c r="C548" s="1" t="s">
        <v>84</v>
      </c>
      <c r="D548" s="1" t="s">
        <v>12</v>
      </c>
      <c r="E548" s="1">
        <v>86</v>
      </c>
      <c r="F548" s="1">
        <v>80</v>
      </c>
      <c r="G548" s="1">
        <v>27</v>
      </c>
      <c r="H548" s="1">
        <v>59</v>
      </c>
      <c r="I548" s="1">
        <v>99</v>
      </c>
    </row>
    <row r="549" spans="1:9" x14ac:dyDescent="0.25">
      <c r="A549" s="2" t="s">
        <v>104</v>
      </c>
      <c r="B549" s="2" t="s">
        <v>77</v>
      </c>
      <c r="C549" s="2" t="s">
        <v>85</v>
      </c>
      <c r="D549" s="2" t="s">
        <v>12</v>
      </c>
      <c r="E549" s="2">
        <v>44</v>
      </c>
      <c r="F549" s="2">
        <v>40</v>
      </c>
      <c r="G549" s="2">
        <v>30</v>
      </c>
      <c r="H549" s="2">
        <v>25</v>
      </c>
      <c r="I549" s="2">
        <v>96</v>
      </c>
    </row>
    <row r="550" spans="1:9" x14ac:dyDescent="0.25">
      <c r="A550" s="1" t="s">
        <v>104</v>
      </c>
      <c r="B550" s="1" t="s">
        <v>77</v>
      </c>
      <c r="C550" s="1" t="s">
        <v>86</v>
      </c>
      <c r="D550" s="1" t="s">
        <v>12</v>
      </c>
      <c r="E550" s="1">
        <v>43</v>
      </c>
      <c r="F550" s="1">
        <v>87</v>
      </c>
      <c r="G550" s="1">
        <v>40</v>
      </c>
      <c r="H550" s="1">
        <v>20</v>
      </c>
      <c r="I550" s="1">
        <v>91</v>
      </c>
    </row>
    <row r="551" spans="1:9" x14ac:dyDescent="0.25">
      <c r="A551" s="2" t="s">
        <v>104</v>
      </c>
      <c r="B551" s="2" t="s">
        <v>77</v>
      </c>
      <c r="C551" s="2" t="s">
        <v>87</v>
      </c>
      <c r="D551" s="2" t="s">
        <v>12</v>
      </c>
      <c r="E551" s="2">
        <v>33</v>
      </c>
      <c r="F551" s="2">
        <v>37</v>
      </c>
      <c r="G551" s="2">
        <v>90</v>
      </c>
      <c r="H551" s="2">
        <v>48</v>
      </c>
      <c r="I551" s="2">
        <v>57</v>
      </c>
    </row>
    <row r="552" spans="1:9" x14ac:dyDescent="0.25">
      <c r="A552" s="1" t="s">
        <v>104</v>
      </c>
      <c r="B552" s="1" t="s">
        <v>88</v>
      </c>
      <c r="C552" s="1" t="s">
        <v>89</v>
      </c>
      <c r="D552" s="1" t="s">
        <v>12</v>
      </c>
      <c r="E552" s="1">
        <v>81</v>
      </c>
      <c r="F552" s="1">
        <v>71</v>
      </c>
      <c r="G552" s="1">
        <v>21</v>
      </c>
      <c r="H552" s="1">
        <v>98</v>
      </c>
      <c r="I552" s="1">
        <v>60</v>
      </c>
    </row>
    <row r="553" spans="1:9" x14ac:dyDescent="0.25">
      <c r="A553" s="2" t="s">
        <v>104</v>
      </c>
      <c r="B553" s="2" t="s">
        <v>88</v>
      </c>
      <c r="C553" s="2" t="s">
        <v>90</v>
      </c>
      <c r="D553" s="2" t="s">
        <v>12</v>
      </c>
      <c r="E553" s="2">
        <v>52</v>
      </c>
      <c r="F553" s="2">
        <v>32</v>
      </c>
      <c r="G553" s="2">
        <v>74</v>
      </c>
      <c r="H553" s="2">
        <v>43</v>
      </c>
      <c r="I553" s="2">
        <v>44</v>
      </c>
    </row>
    <row r="554" spans="1:9" x14ac:dyDescent="0.25">
      <c r="A554" s="1" t="s">
        <v>104</v>
      </c>
      <c r="B554" s="1" t="s">
        <v>88</v>
      </c>
      <c r="C554" s="1" t="s">
        <v>91</v>
      </c>
      <c r="D554" s="1" t="s">
        <v>12</v>
      </c>
      <c r="E554" s="1">
        <v>48</v>
      </c>
      <c r="F554" s="1">
        <v>82</v>
      </c>
      <c r="G554" s="1">
        <v>98</v>
      </c>
      <c r="H554" s="1">
        <v>75</v>
      </c>
      <c r="I554" s="1">
        <v>36</v>
      </c>
    </row>
    <row r="555" spans="1:9" x14ac:dyDescent="0.25">
      <c r="A555" s="2" t="s">
        <v>104</v>
      </c>
      <c r="B555" s="2" t="s">
        <v>88</v>
      </c>
      <c r="C555" s="2" t="s">
        <v>92</v>
      </c>
      <c r="D555" s="2" t="s">
        <v>12</v>
      </c>
      <c r="E555" s="2">
        <v>44</v>
      </c>
      <c r="F555" s="2">
        <v>92</v>
      </c>
      <c r="G555" s="2">
        <v>68</v>
      </c>
      <c r="H555" s="2">
        <v>99</v>
      </c>
      <c r="I555" s="2">
        <v>90</v>
      </c>
    </row>
    <row r="556" spans="1:9" x14ac:dyDescent="0.25">
      <c r="A556" s="1" t="s">
        <v>104</v>
      </c>
      <c r="B556" s="1" t="s">
        <v>88</v>
      </c>
      <c r="C556" s="1" t="s">
        <v>93</v>
      </c>
      <c r="D556" s="1" t="s">
        <v>12</v>
      </c>
      <c r="E556" s="1">
        <v>21</v>
      </c>
      <c r="F556" s="1">
        <v>53</v>
      </c>
      <c r="G556" s="1">
        <v>32</v>
      </c>
      <c r="H556" s="1">
        <v>85</v>
      </c>
      <c r="I556" s="1">
        <v>16</v>
      </c>
    </row>
    <row r="557" spans="1:9" x14ac:dyDescent="0.25">
      <c r="A557" s="2" t="s">
        <v>104</v>
      </c>
      <c r="B557" s="2" t="s">
        <v>88</v>
      </c>
      <c r="C557" s="2" t="s">
        <v>94</v>
      </c>
      <c r="D557" s="2" t="s">
        <v>12</v>
      </c>
      <c r="E557" s="2">
        <v>45</v>
      </c>
      <c r="F557" s="2">
        <v>34</v>
      </c>
      <c r="G557" s="2">
        <v>20</v>
      </c>
      <c r="H557" s="2">
        <v>75</v>
      </c>
      <c r="I557" s="2">
        <v>32</v>
      </c>
    </row>
    <row r="558" spans="1:9" x14ac:dyDescent="0.25">
      <c r="A558" s="1" t="s">
        <v>104</v>
      </c>
      <c r="B558" s="1" t="s">
        <v>88</v>
      </c>
      <c r="C558" s="1" t="s">
        <v>95</v>
      </c>
      <c r="D558" s="1" t="s">
        <v>12</v>
      </c>
      <c r="E558" s="1">
        <v>56</v>
      </c>
      <c r="F558" s="1">
        <v>10</v>
      </c>
      <c r="G558" s="1">
        <v>17</v>
      </c>
      <c r="H558" s="1">
        <v>69</v>
      </c>
      <c r="I558" s="1">
        <v>58</v>
      </c>
    </row>
    <row r="559" spans="1:9" x14ac:dyDescent="0.25">
      <c r="A559" s="2" t="s">
        <v>104</v>
      </c>
      <c r="B559" s="2" t="s">
        <v>88</v>
      </c>
      <c r="C559" s="2" t="s">
        <v>96</v>
      </c>
      <c r="D559" s="2" t="s">
        <v>12</v>
      </c>
      <c r="E559" s="2">
        <v>26</v>
      </c>
      <c r="F559" s="2">
        <v>38</v>
      </c>
      <c r="G559" s="2">
        <v>39</v>
      </c>
      <c r="H559" s="2">
        <v>72</v>
      </c>
      <c r="I559" s="2">
        <v>39</v>
      </c>
    </row>
    <row r="560" spans="1:9" x14ac:dyDescent="0.25">
      <c r="A560" s="1" t="s">
        <v>104</v>
      </c>
      <c r="B560" s="1" t="s">
        <v>88</v>
      </c>
      <c r="C560" s="1" t="s">
        <v>97</v>
      </c>
      <c r="D560" s="1" t="s">
        <v>12</v>
      </c>
      <c r="E560" s="1">
        <v>33</v>
      </c>
      <c r="F560" s="1">
        <v>32</v>
      </c>
      <c r="G560" s="1">
        <v>48</v>
      </c>
      <c r="H560" s="1">
        <v>70</v>
      </c>
      <c r="I560" s="1">
        <v>57</v>
      </c>
    </row>
    <row r="561" spans="1:9" x14ac:dyDescent="0.25">
      <c r="A561" s="2" t="s">
        <v>104</v>
      </c>
      <c r="B561" s="2" t="s">
        <v>88</v>
      </c>
      <c r="C561" s="2" t="s">
        <v>98</v>
      </c>
      <c r="D561" s="2" t="s">
        <v>12</v>
      </c>
      <c r="E561" s="2">
        <v>14</v>
      </c>
      <c r="F561" s="2">
        <v>19</v>
      </c>
      <c r="G561" s="2">
        <v>46</v>
      </c>
      <c r="H561" s="2">
        <v>65</v>
      </c>
      <c r="I561" s="2">
        <v>34</v>
      </c>
    </row>
    <row r="562" spans="1:9" x14ac:dyDescent="0.25">
      <c r="A562" s="1" t="s">
        <v>9</v>
      </c>
      <c r="B562" s="1" t="s">
        <v>10</v>
      </c>
      <c r="C562" s="1" t="s">
        <v>11</v>
      </c>
      <c r="D562" s="1" t="s">
        <v>105</v>
      </c>
      <c r="E562" s="1">
        <v>1439952</v>
      </c>
      <c r="F562" s="1">
        <v>1649945</v>
      </c>
      <c r="G562" s="1">
        <v>1739942</v>
      </c>
      <c r="H562" s="1">
        <v>2819906</v>
      </c>
      <c r="I562" s="1">
        <v>389987</v>
      </c>
    </row>
    <row r="563" spans="1:9" x14ac:dyDescent="0.25">
      <c r="A563" s="2" t="s">
        <v>9</v>
      </c>
      <c r="B563" s="2" t="s">
        <v>10</v>
      </c>
      <c r="C563" s="2" t="s">
        <v>13</v>
      </c>
      <c r="D563" s="2" t="s">
        <v>105</v>
      </c>
      <c r="E563" s="2">
        <v>188388</v>
      </c>
      <c r="F563" s="2">
        <v>1098930</v>
      </c>
      <c r="G563" s="2">
        <v>753552</v>
      </c>
      <c r="H563" s="2">
        <v>1569900</v>
      </c>
      <c r="I563" s="2">
        <v>910542</v>
      </c>
    </row>
    <row r="564" spans="1:9" x14ac:dyDescent="0.25">
      <c r="A564" s="1" t="s">
        <v>9</v>
      </c>
      <c r="B564" s="1" t="s">
        <v>10</v>
      </c>
      <c r="C564" s="1" t="s">
        <v>14</v>
      </c>
      <c r="D564" s="1" t="s">
        <v>105</v>
      </c>
      <c r="E564" s="1">
        <v>882060</v>
      </c>
      <c r="F564" s="1">
        <v>708540</v>
      </c>
      <c r="G564" s="1">
        <v>491640</v>
      </c>
      <c r="H564" s="1">
        <v>1200180</v>
      </c>
      <c r="I564" s="1">
        <v>997740</v>
      </c>
    </row>
    <row r="565" spans="1:9" x14ac:dyDescent="0.25">
      <c r="A565" s="2" t="s">
        <v>9</v>
      </c>
      <c r="B565" s="2" t="s">
        <v>10</v>
      </c>
      <c r="C565" s="2" t="s">
        <v>15</v>
      </c>
      <c r="D565" s="2" t="s">
        <v>105</v>
      </c>
      <c r="E565" s="2">
        <v>985942</v>
      </c>
      <c r="F565" s="2">
        <v>1206929</v>
      </c>
      <c r="G565" s="2">
        <v>1444915</v>
      </c>
      <c r="H565" s="2">
        <v>1291924</v>
      </c>
      <c r="I565" s="2">
        <v>594965</v>
      </c>
    </row>
    <row r="566" spans="1:9" x14ac:dyDescent="0.25">
      <c r="A566" s="1" t="s">
        <v>9</v>
      </c>
      <c r="B566" s="1" t="s">
        <v>10</v>
      </c>
      <c r="C566" s="1" t="s">
        <v>16</v>
      </c>
      <c r="D566" s="1" t="s">
        <v>105</v>
      </c>
      <c r="E566" s="1">
        <v>942975</v>
      </c>
      <c r="F566" s="1">
        <v>723900</v>
      </c>
      <c r="G566" s="1">
        <v>733425</v>
      </c>
      <c r="H566" s="1">
        <v>304800</v>
      </c>
      <c r="I566" s="1">
        <v>180975</v>
      </c>
    </row>
    <row r="567" spans="1:9" x14ac:dyDescent="0.25">
      <c r="A567" s="2" t="s">
        <v>9</v>
      </c>
      <c r="B567" s="2" t="s">
        <v>10</v>
      </c>
      <c r="C567" s="2" t="s">
        <v>17</v>
      </c>
      <c r="D567" s="2" t="s">
        <v>105</v>
      </c>
      <c r="E567" s="2">
        <v>547200</v>
      </c>
      <c r="F567" s="2">
        <v>1641600</v>
      </c>
      <c r="G567" s="2">
        <v>649800</v>
      </c>
      <c r="H567" s="2">
        <v>1436400</v>
      </c>
      <c r="I567" s="2">
        <v>1214100</v>
      </c>
    </row>
    <row r="568" spans="1:9" x14ac:dyDescent="0.25">
      <c r="A568" s="1" t="s">
        <v>9</v>
      </c>
      <c r="B568" s="1" t="s">
        <v>10</v>
      </c>
      <c r="C568" s="1" t="s">
        <v>18</v>
      </c>
      <c r="D568" s="1" t="s">
        <v>105</v>
      </c>
      <c r="E568" s="1">
        <v>428780</v>
      </c>
      <c r="F568" s="1">
        <v>662660</v>
      </c>
      <c r="G568" s="1">
        <v>1539710</v>
      </c>
      <c r="H568" s="1">
        <v>1520220</v>
      </c>
      <c r="I568" s="1">
        <v>1227870</v>
      </c>
    </row>
    <row r="569" spans="1:9" x14ac:dyDescent="0.25">
      <c r="A569" s="2" t="s">
        <v>9</v>
      </c>
      <c r="B569" s="2" t="s">
        <v>10</v>
      </c>
      <c r="C569" s="2" t="s">
        <v>19</v>
      </c>
      <c r="D569" s="2" t="s">
        <v>105</v>
      </c>
      <c r="E569" s="2">
        <v>1886820</v>
      </c>
      <c r="F569" s="2">
        <v>725700</v>
      </c>
      <c r="G569" s="2">
        <v>1185310</v>
      </c>
      <c r="H569" s="2">
        <v>1282070</v>
      </c>
      <c r="I569" s="2">
        <v>1572350</v>
      </c>
    </row>
    <row r="570" spans="1:9" x14ac:dyDescent="0.25">
      <c r="A570" s="1" t="s">
        <v>9</v>
      </c>
      <c r="B570" s="1" t="s">
        <v>10</v>
      </c>
      <c r="C570" s="1" t="s">
        <v>20</v>
      </c>
      <c r="D570" s="1" t="s">
        <v>105</v>
      </c>
      <c r="E570" s="1">
        <v>327590</v>
      </c>
      <c r="F570" s="1">
        <v>151810</v>
      </c>
      <c r="G570" s="1">
        <v>207740</v>
      </c>
      <c r="H570" s="1">
        <v>127840</v>
      </c>
      <c r="I570" s="1">
        <v>287640</v>
      </c>
    </row>
    <row r="571" spans="1:9" x14ac:dyDescent="0.25">
      <c r="A571" s="2" t="s">
        <v>9</v>
      </c>
      <c r="B571" s="2" t="s">
        <v>10</v>
      </c>
      <c r="C571" s="2" t="s">
        <v>21</v>
      </c>
      <c r="D571" s="2" t="s">
        <v>105</v>
      </c>
      <c r="E571" s="2">
        <v>527220</v>
      </c>
      <c r="F571" s="2">
        <v>145440</v>
      </c>
      <c r="G571" s="2">
        <v>536310</v>
      </c>
      <c r="H571" s="2">
        <v>254520</v>
      </c>
      <c r="I571" s="2">
        <v>609030</v>
      </c>
    </row>
    <row r="572" spans="1:9" x14ac:dyDescent="0.25">
      <c r="A572" s="1" t="s">
        <v>9</v>
      </c>
      <c r="B572" s="1" t="s">
        <v>22</v>
      </c>
      <c r="C572" s="1" t="s">
        <v>23</v>
      </c>
      <c r="D572" s="1" t="s">
        <v>105</v>
      </c>
      <c r="E572" s="1">
        <v>389378</v>
      </c>
      <c r="F572" s="1">
        <v>1592910</v>
      </c>
      <c r="G572" s="1">
        <v>1097338</v>
      </c>
      <c r="H572" s="1">
        <v>991144</v>
      </c>
      <c r="I572" s="1">
        <v>690261</v>
      </c>
    </row>
    <row r="573" spans="1:9" x14ac:dyDescent="0.25">
      <c r="A573" s="2" t="s">
        <v>9</v>
      </c>
      <c r="B573" s="2" t="s">
        <v>22</v>
      </c>
      <c r="C573" s="2" t="s">
        <v>24</v>
      </c>
      <c r="D573" s="2" t="s">
        <v>105</v>
      </c>
      <c r="E573" s="2">
        <v>2278914</v>
      </c>
      <c r="F573" s="2">
        <v>609477</v>
      </c>
      <c r="G573" s="2">
        <v>1377948</v>
      </c>
      <c r="H573" s="2">
        <v>264990</v>
      </c>
      <c r="I573" s="2">
        <v>1775433</v>
      </c>
    </row>
    <row r="574" spans="1:9" x14ac:dyDescent="0.25">
      <c r="A574" s="1" t="s">
        <v>9</v>
      </c>
      <c r="B574" s="1" t="s">
        <v>22</v>
      </c>
      <c r="C574" s="1" t="s">
        <v>25</v>
      </c>
      <c r="D574" s="1" t="s">
        <v>105</v>
      </c>
      <c r="E574" s="1">
        <v>1389280</v>
      </c>
      <c r="F574" s="1">
        <v>1498960</v>
      </c>
      <c r="G574" s="1">
        <v>1553800</v>
      </c>
      <c r="H574" s="1">
        <v>1590360</v>
      </c>
      <c r="I574" s="1">
        <v>712920</v>
      </c>
    </row>
    <row r="575" spans="1:9" x14ac:dyDescent="0.25">
      <c r="A575" s="2" t="s">
        <v>9</v>
      </c>
      <c r="B575" s="2" t="s">
        <v>22</v>
      </c>
      <c r="C575" s="2" t="s">
        <v>26</v>
      </c>
      <c r="D575" s="2" t="s">
        <v>105</v>
      </c>
      <c r="E575" s="2">
        <v>299880</v>
      </c>
      <c r="F575" s="2">
        <v>214200</v>
      </c>
      <c r="G575" s="2">
        <v>207060</v>
      </c>
      <c r="H575" s="2">
        <v>499800</v>
      </c>
      <c r="I575" s="2">
        <v>271320</v>
      </c>
    </row>
    <row r="576" spans="1:9" x14ac:dyDescent="0.25">
      <c r="A576" s="1" t="s">
        <v>9</v>
      </c>
      <c r="B576" s="1" t="s">
        <v>22</v>
      </c>
      <c r="C576" s="1" t="s">
        <v>27</v>
      </c>
      <c r="D576" s="1" t="s">
        <v>105</v>
      </c>
      <c r="E576" s="1">
        <v>1718820</v>
      </c>
      <c r="F576" s="1">
        <v>1527840</v>
      </c>
      <c r="G576" s="1">
        <v>2928360</v>
      </c>
      <c r="H576" s="1">
        <v>954900</v>
      </c>
      <c r="I576" s="1">
        <v>2514570</v>
      </c>
    </row>
    <row r="577" spans="1:9" x14ac:dyDescent="0.25">
      <c r="A577" s="2" t="s">
        <v>9</v>
      </c>
      <c r="B577" s="2" t="s">
        <v>22</v>
      </c>
      <c r="C577" s="2" t="s">
        <v>28</v>
      </c>
      <c r="D577" s="2" t="s">
        <v>105</v>
      </c>
      <c r="E577" s="2">
        <v>915600</v>
      </c>
      <c r="F577" s="2">
        <v>2223600</v>
      </c>
      <c r="G577" s="2">
        <v>523200</v>
      </c>
      <c r="H577" s="2">
        <v>2452500</v>
      </c>
      <c r="I577" s="2">
        <v>3237300</v>
      </c>
    </row>
    <row r="578" spans="1:9" x14ac:dyDescent="0.25">
      <c r="A578" s="1" t="s">
        <v>9</v>
      </c>
      <c r="B578" s="1" t="s">
        <v>22</v>
      </c>
      <c r="C578" s="1" t="s">
        <v>29</v>
      </c>
      <c r="D578" s="1" t="s">
        <v>105</v>
      </c>
      <c r="E578" s="1">
        <v>1529350</v>
      </c>
      <c r="F578" s="1">
        <v>1634100</v>
      </c>
      <c r="G578" s="1">
        <v>1550300</v>
      </c>
      <c r="H578" s="1">
        <v>1361750</v>
      </c>
      <c r="I578" s="1">
        <v>460900</v>
      </c>
    </row>
    <row r="579" spans="1:9" x14ac:dyDescent="0.25">
      <c r="A579" s="2" t="s">
        <v>9</v>
      </c>
      <c r="B579" s="2" t="s">
        <v>22</v>
      </c>
      <c r="C579" s="2" t="s">
        <v>30</v>
      </c>
      <c r="D579" s="2" t="s">
        <v>105</v>
      </c>
      <c r="E579" s="2">
        <v>1932128</v>
      </c>
      <c r="F579" s="2">
        <v>570856</v>
      </c>
      <c r="G579" s="2">
        <v>2107776</v>
      </c>
      <c r="H579" s="2">
        <v>2173644</v>
      </c>
      <c r="I579" s="2">
        <v>417164</v>
      </c>
    </row>
    <row r="580" spans="1:9" x14ac:dyDescent="0.25">
      <c r="A580" s="1" t="s">
        <v>9</v>
      </c>
      <c r="B580" s="1" t="s">
        <v>22</v>
      </c>
      <c r="C580" s="1" t="s">
        <v>31</v>
      </c>
      <c r="D580" s="1" t="s">
        <v>105</v>
      </c>
      <c r="E580" s="1">
        <v>232190</v>
      </c>
      <c r="F580" s="1">
        <v>299600</v>
      </c>
      <c r="G580" s="1">
        <v>501830</v>
      </c>
      <c r="H580" s="1">
        <v>666610</v>
      </c>
      <c r="I580" s="1">
        <v>322070</v>
      </c>
    </row>
    <row r="581" spans="1:9" x14ac:dyDescent="0.25">
      <c r="A581" s="2" t="s">
        <v>9</v>
      </c>
      <c r="B581" s="2" t="s">
        <v>22</v>
      </c>
      <c r="C581" s="2" t="s">
        <v>32</v>
      </c>
      <c r="D581" s="2" t="s">
        <v>105</v>
      </c>
      <c r="E581" s="2">
        <v>522750</v>
      </c>
      <c r="F581" s="2">
        <v>1014750</v>
      </c>
      <c r="G581" s="2">
        <v>2644500</v>
      </c>
      <c r="H581" s="2">
        <v>2798250</v>
      </c>
      <c r="I581" s="2">
        <v>399750</v>
      </c>
    </row>
    <row r="582" spans="1:9" x14ac:dyDescent="0.25">
      <c r="A582" s="1" t="s">
        <v>9</v>
      </c>
      <c r="B582" s="1" t="s">
        <v>33</v>
      </c>
      <c r="C582" s="1" t="s">
        <v>34</v>
      </c>
      <c r="D582" s="1" t="s">
        <v>105</v>
      </c>
      <c r="E582" s="1">
        <v>651900</v>
      </c>
      <c r="F582" s="1">
        <v>135300</v>
      </c>
      <c r="G582" s="1">
        <v>602700</v>
      </c>
      <c r="H582" s="1">
        <v>319800</v>
      </c>
      <c r="I582" s="1">
        <v>651900</v>
      </c>
    </row>
    <row r="583" spans="1:9" x14ac:dyDescent="0.25">
      <c r="A583" s="2" t="s">
        <v>9</v>
      </c>
      <c r="B583" s="2" t="s">
        <v>33</v>
      </c>
      <c r="C583" s="2" t="s">
        <v>35</v>
      </c>
      <c r="D583" s="2" t="s">
        <v>105</v>
      </c>
      <c r="E583" s="2">
        <v>2268000</v>
      </c>
      <c r="F583" s="2">
        <v>2408000</v>
      </c>
      <c r="G583" s="2">
        <v>1568000</v>
      </c>
      <c r="H583" s="2">
        <v>672000</v>
      </c>
      <c r="I583" s="2">
        <v>1932000</v>
      </c>
    </row>
    <row r="584" spans="1:9" x14ac:dyDescent="0.25">
      <c r="A584" s="1" t="s">
        <v>9</v>
      </c>
      <c r="B584" s="1" t="s">
        <v>33</v>
      </c>
      <c r="C584" s="1" t="s">
        <v>36</v>
      </c>
      <c r="D584" s="1" t="s">
        <v>105</v>
      </c>
      <c r="E584" s="1">
        <v>500750</v>
      </c>
      <c r="F584" s="1">
        <v>741110</v>
      </c>
      <c r="G584" s="1">
        <v>1321980</v>
      </c>
      <c r="H584" s="1">
        <v>1402100</v>
      </c>
      <c r="I584" s="1">
        <v>640960</v>
      </c>
    </row>
    <row r="585" spans="1:9" x14ac:dyDescent="0.25">
      <c r="A585" s="2" t="s">
        <v>9</v>
      </c>
      <c r="B585" s="2" t="s">
        <v>33</v>
      </c>
      <c r="C585" s="2" t="s">
        <v>37</v>
      </c>
      <c r="D585" s="2" t="s">
        <v>105</v>
      </c>
      <c r="E585" s="2">
        <v>1148400</v>
      </c>
      <c r="F585" s="2">
        <v>1663200</v>
      </c>
      <c r="G585" s="2">
        <v>732600</v>
      </c>
      <c r="H585" s="2">
        <v>1683000</v>
      </c>
      <c r="I585" s="2">
        <v>1267200</v>
      </c>
    </row>
    <row r="586" spans="1:9" x14ac:dyDescent="0.25">
      <c r="A586" s="1" t="s">
        <v>9</v>
      </c>
      <c r="B586" s="1" t="s">
        <v>33</v>
      </c>
      <c r="C586" s="1" t="s">
        <v>38</v>
      </c>
      <c r="D586" s="1" t="s">
        <v>105</v>
      </c>
      <c r="E586" s="1">
        <v>1260000</v>
      </c>
      <c r="F586" s="1">
        <v>432000</v>
      </c>
      <c r="G586" s="1">
        <v>846000</v>
      </c>
      <c r="H586" s="1">
        <v>450000</v>
      </c>
      <c r="I586" s="1">
        <v>828000</v>
      </c>
    </row>
    <row r="587" spans="1:9" x14ac:dyDescent="0.25">
      <c r="A587" s="2" t="s">
        <v>9</v>
      </c>
      <c r="B587" s="2" t="s">
        <v>33</v>
      </c>
      <c r="C587" s="2" t="s">
        <v>39</v>
      </c>
      <c r="D587" s="2" t="s">
        <v>105</v>
      </c>
      <c r="E587" s="2">
        <v>1329240</v>
      </c>
      <c r="F587" s="2">
        <v>1066890</v>
      </c>
      <c r="G587" s="2">
        <v>979440</v>
      </c>
      <c r="H587" s="2">
        <v>1644060</v>
      </c>
      <c r="I587" s="2">
        <v>419760</v>
      </c>
    </row>
    <row r="588" spans="1:9" x14ac:dyDescent="0.25">
      <c r="A588" s="1" t="s">
        <v>9</v>
      </c>
      <c r="B588" s="1" t="s">
        <v>33</v>
      </c>
      <c r="C588" s="1" t="s">
        <v>40</v>
      </c>
      <c r="D588" s="1" t="s">
        <v>105</v>
      </c>
      <c r="E588" s="1">
        <v>611160</v>
      </c>
      <c r="F588" s="1">
        <v>347250</v>
      </c>
      <c r="G588" s="1">
        <v>1083420</v>
      </c>
      <c r="H588" s="1">
        <v>986190</v>
      </c>
      <c r="I588" s="1">
        <v>1055640</v>
      </c>
    </row>
    <row r="589" spans="1:9" x14ac:dyDescent="0.25">
      <c r="A589" s="2" t="s">
        <v>9</v>
      </c>
      <c r="B589" s="2" t="s">
        <v>33</v>
      </c>
      <c r="C589" s="2" t="s">
        <v>41</v>
      </c>
      <c r="D589" s="2" t="s">
        <v>105</v>
      </c>
      <c r="E589" s="2">
        <v>818350</v>
      </c>
      <c r="F589" s="2">
        <v>742810</v>
      </c>
      <c r="G589" s="2">
        <v>1107920</v>
      </c>
      <c r="H589" s="2">
        <v>805760</v>
      </c>
      <c r="I589" s="2">
        <v>1082740</v>
      </c>
    </row>
    <row r="590" spans="1:9" x14ac:dyDescent="0.25">
      <c r="A590" s="1" t="s">
        <v>9</v>
      </c>
      <c r="B590" s="1" t="s">
        <v>33</v>
      </c>
      <c r="C590" s="1" t="s">
        <v>42</v>
      </c>
      <c r="D590" s="1" t="s">
        <v>105</v>
      </c>
      <c r="E590" s="1">
        <v>527065</v>
      </c>
      <c r="F590" s="1">
        <v>403855</v>
      </c>
      <c r="G590" s="1">
        <v>554445</v>
      </c>
      <c r="H590" s="1">
        <v>355940</v>
      </c>
      <c r="I590" s="1">
        <v>540755</v>
      </c>
    </row>
    <row r="591" spans="1:9" x14ac:dyDescent="0.25">
      <c r="A591" s="2" t="s">
        <v>9</v>
      </c>
      <c r="B591" s="2" t="s">
        <v>33</v>
      </c>
      <c r="C591" s="2" t="s">
        <v>43</v>
      </c>
      <c r="D591" s="2" t="s">
        <v>105</v>
      </c>
      <c r="E591" s="2">
        <v>420000</v>
      </c>
      <c r="F591" s="2">
        <v>570000</v>
      </c>
      <c r="G591" s="2">
        <v>660000</v>
      </c>
      <c r="H591" s="2">
        <v>457500</v>
      </c>
      <c r="I591" s="2">
        <v>705000</v>
      </c>
    </row>
    <row r="592" spans="1:9" x14ac:dyDescent="0.25">
      <c r="A592" s="1" t="s">
        <v>9</v>
      </c>
      <c r="B592" s="1" t="s">
        <v>44</v>
      </c>
      <c r="C592" s="1" t="s">
        <v>45</v>
      </c>
      <c r="D592" s="1" t="s">
        <v>105</v>
      </c>
      <c r="E592" s="1">
        <v>1034700</v>
      </c>
      <c r="F592" s="1">
        <v>3104100</v>
      </c>
      <c r="G592" s="1">
        <v>586330</v>
      </c>
      <c r="H592" s="1">
        <v>1586540</v>
      </c>
      <c r="I592" s="1">
        <v>2345320</v>
      </c>
    </row>
    <row r="593" spans="1:9" x14ac:dyDescent="0.25">
      <c r="A593" s="2" t="s">
        <v>9</v>
      </c>
      <c r="B593" s="2" t="s">
        <v>44</v>
      </c>
      <c r="C593" s="2" t="s">
        <v>46</v>
      </c>
      <c r="D593" s="2" t="s">
        <v>105</v>
      </c>
      <c r="E593" s="2">
        <v>2127900</v>
      </c>
      <c r="F593" s="2">
        <v>2465250</v>
      </c>
      <c r="G593" s="2">
        <v>2387400</v>
      </c>
      <c r="H593" s="2">
        <v>2024100</v>
      </c>
      <c r="I593" s="2">
        <v>1894350</v>
      </c>
    </row>
    <row r="594" spans="1:9" x14ac:dyDescent="0.25">
      <c r="A594" s="1" t="s">
        <v>9</v>
      </c>
      <c r="B594" s="1" t="s">
        <v>44</v>
      </c>
      <c r="C594" s="1" t="s">
        <v>47</v>
      </c>
      <c r="D594" s="1" t="s">
        <v>105</v>
      </c>
      <c r="E594" s="1">
        <v>1127530</v>
      </c>
      <c r="F594" s="1">
        <v>1367430</v>
      </c>
      <c r="G594" s="1">
        <v>911620</v>
      </c>
      <c r="H594" s="1">
        <v>1319450</v>
      </c>
      <c r="I594" s="1">
        <v>311870</v>
      </c>
    </row>
    <row r="595" spans="1:9" x14ac:dyDescent="0.25">
      <c r="A595" s="2" t="s">
        <v>9</v>
      </c>
      <c r="B595" s="2" t="s">
        <v>44</v>
      </c>
      <c r="C595" s="2" t="s">
        <v>48</v>
      </c>
      <c r="D595" s="2" t="s">
        <v>105</v>
      </c>
      <c r="E595" s="2">
        <v>197982</v>
      </c>
      <c r="F595" s="2">
        <v>637942</v>
      </c>
      <c r="G595" s="2">
        <v>758931</v>
      </c>
      <c r="H595" s="2">
        <v>373966</v>
      </c>
      <c r="I595" s="2">
        <v>538951</v>
      </c>
    </row>
    <row r="596" spans="1:9" x14ac:dyDescent="0.25">
      <c r="A596" s="1" t="s">
        <v>9</v>
      </c>
      <c r="B596" s="1" t="s">
        <v>44</v>
      </c>
      <c r="C596" s="1" t="s">
        <v>49</v>
      </c>
      <c r="D596" s="1" t="s">
        <v>105</v>
      </c>
      <c r="E596" s="1">
        <v>2520000</v>
      </c>
      <c r="F596" s="1">
        <v>2310000</v>
      </c>
      <c r="G596" s="1">
        <v>770000</v>
      </c>
      <c r="H596" s="1">
        <v>3325000</v>
      </c>
      <c r="I596" s="1">
        <v>2870000</v>
      </c>
    </row>
    <row r="597" spans="1:9" x14ac:dyDescent="0.25">
      <c r="A597" s="2" t="s">
        <v>9</v>
      </c>
      <c r="B597" s="2" t="s">
        <v>44</v>
      </c>
      <c r="C597" s="2" t="s">
        <v>50</v>
      </c>
      <c r="D597" s="2" t="s">
        <v>105</v>
      </c>
      <c r="E597" s="2">
        <v>174986</v>
      </c>
      <c r="F597" s="2">
        <v>274978</v>
      </c>
      <c r="G597" s="2">
        <v>299976</v>
      </c>
      <c r="H597" s="2">
        <v>587453</v>
      </c>
      <c r="I597" s="2">
        <v>449964</v>
      </c>
    </row>
    <row r="598" spans="1:9" x14ac:dyDescent="0.25">
      <c r="A598" s="1" t="s">
        <v>9</v>
      </c>
      <c r="B598" s="1" t="s">
        <v>44</v>
      </c>
      <c r="C598" s="1" t="s">
        <v>51</v>
      </c>
      <c r="D598" s="1" t="s">
        <v>105</v>
      </c>
      <c r="E598" s="1">
        <v>917600</v>
      </c>
      <c r="F598" s="1">
        <v>355200</v>
      </c>
      <c r="G598" s="1">
        <v>1095200</v>
      </c>
      <c r="H598" s="1">
        <v>2456800</v>
      </c>
      <c r="I598" s="1">
        <v>1835200</v>
      </c>
    </row>
    <row r="599" spans="1:9" x14ac:dyDescent="0.25">
      <c r="A599" s="2" t="s">
        <v>9</v>
      </c>
      <c r="B599" s="2" t="s">
        <v>44</v>
      </c>
      <c r="C599" s="2" t="s">
        <v>52</v>
      </c>
      <c r="D599" s="2" t="s">
        <v>105</v>
      </c>
      <c r="E599" s="2">
        <v>494000</v>
      </c>
      <c r="F599" s="2">
        <v>364000</v>
      </c>
      <c r="G599" s="2">
        <v>1001000</v>
      </c>
      <c r="H599" s="2">
        <v>585000</v>
      </c>
      <c r="I599" s="2">
        <v>988000</v>
      </c>
    </row>
    <row r="600" spans="1:9" x14ac:dyDescent="0.25">
      <c r="A600" s="1" t="s">
        <v>9</v>
      </c>
      <c r="B600" s="1" t="s">
        <v>44</v>
      </c>
      <c r="C600" s="1" t="s">
        <v>53</v>
      </c>
      <c r="D600" s="1" t="s">
        <v>105</v>
      </c>
      <c r="E600" s="1">
        <v>828960</v>
      </c>
      <c r="F600" s="1">
        <v>653120</v>
      </c>
      <c r="G600" s="1">
        <v>2135200</v>
      </c>
      <c r="H600" s="1">
        <v>1281120</v>
      </c>
      <c r="I600" s="1">
        <v>1507200</v>
      </c>
    </row>
    <row r="601" spans="1:9" x14ac:dyDescent="0.25">
      <c r="A601" s="2" t="s">
        <v>9</v>
      </c>
      <c r="B601" s="2" t="s">
        <v>44</v>
      </c>
      <c r="C601" s="2" t="s">
        <v>54</v>
      </c>
      <c r="D601" s="2" t="s">
        <v>105</v>
      </c>
      <c r="E601" s="2">
        <v>1236843</v>
      </c>
      <c r="F601" s="2">
        <v>2039706</v>
      </c>
      <c r="G601" s="2">
        <v>650970</v>
      </c>
      <c r="H601" s="2">
        <v>1215144</v>
      </c>
      <c r="I601" s="2">
        <v>1801017</v>
      </c>
    </row>
    <row r="602" spans="1:9" x14ac:dyDescent="0.25">
      <c r="A602" s="1" t="s">
        <v>9</v>
      </c>
      <c r="B602" s="1" t="s">
        <v>55</v>
      </c>
      <c r="C602" s="1" t="s">
        <v>56</v>
      </c>
      <c r="D602" s="1" t="s">
        <v>105</v>
      </c>
      <c r="E602" s="1">
        <v>1512110</v>
      </c>
      <c r="F602" s="1">
        <v>1291240</v>
      </c>
      <c r="G602" s="1">
        <v>322810</v>
      </c>
      <c r="H602" s="1">
        <v>237860</v>
      </c>
      <c r="I602" s="1">
        <v>900470</v>
      </c>
    </row>
    <row r="603" spans="1:9" x14ac:dyDescent="0.25">
      <c r="A603" s="2" t="s">
        <v>9</v>
      </c>
      <c r="B603" s="2" t="s">
        <v>55</v>
      </c>
      <c r="C603" s="2" t="s">
        <v>57</v>
      </c>
      <c r="D603" s="2" t="s">
        <v>105</v>
      </c>
      <c r="E603" s="2">
        <v>860918</v>
      </c>
      <c r="F603" s="2">
        <v>304471</v>
      </c>
      <c r="G603" s="2">
        <v>808423</v>
      </c>
      <c r="H603" s="2">
        <v>335968</v>
      </c>
      <c r="I603" s="2">
        <v>241477</v>
      </c>
    </row>
    <row r="604" spans="1:9" x14ac:dyDescent="0.25">
      <c r="A604" s="1" t="s">
        <v>9</v>
      </c>
      <c r="B604" s="1" t="s">
        <v>55</v>
      </c>
      <c r="C604" s="1" t="s">
        <v>58</v>
      </c>
      <c r="D604" s="1" t="s">
        <v>105</v>
      </c>
      <c r="E604" s="1">
        <v>2385800</v>
      </c>
      <c r="F604" s="1">
        <v>966400</v>
      </c>
      <c r="G604" s="1">
        <v>2657600</v>
      </c>
      <c r="H604" s="1">
        <v>2657600</v>
      </c>
      <c r="I604" s="1">
        <v>996600</v>
      </c>
    </row>
    <row r="605" spans="1:9" x14ac:dyDescent="0.25">
      <c r="A605" s="2" t="s">
        <v>9</v>
      </c>
      <c r="B605" s="2" t="s">
        <v>55</v>
      </c>
      <c r="C605" s="2" t="s">
        <v>59</v>
      </c>
      <c r="D605" s="2" t="s">
        <v>105</v>
      </c>
      <c r="E605" s="2">
        <v>629937</v>
      </c>
      <c r="F605" s="2">
        <v>99990</v>
      </c>
      <c r="G605" s="2">
        <v>389961</v>
      </c>
      <c r="H605" s="2">
        <v>889911</v>
      </c>
      <c r="I605" s="2">
        <v>989901</v>
      </c>
    </row>
    <row r="606" spans="1:9" x14ac:dyDescent="0.25">
      <c r="A606" s="1" t="s">
        <v>9</v>
      </c>
      <c r="B606" s="1" t="s">
        <v>55</v>
      </c>
      <c r="C606" s="1" t="s">
        <v>60</v>
      </c>
      <c r="D606" s="1" t="s">
        <v>105</v>
      </c>
      <c r="E606" s="1">
        <v>470351</v>
      </c>
      <c r="F606" s="1">
        <v>815915</v>
      </c>
      <c r="G606" s="1">
        <v>163183</v>
      </c>
      <c r="H606" s="1">
        <v>892707</v>
      </c>
      <c r="I606" s="1">
        <v>911905</v>
      </c>
    </row>
    <row r="607" spans="1:9" x14ac:dyDescent="0.25">
      <c r="A607" s="2" t="s">
        <v>9</v>
      </c>
      <c r="B607" s="2" t="s">
        <v>55</v>
      </c>
      <c r="C607" s="2" t="s">
        <v>61</v>
      </c>
      <c r="D607" s="2" t="s">
        <v>105</v>
      </c>
      <c r="E607" s="2">
        <v>911952</v>
      </c>
      <c r="F607" s="2">
        <v>284985</v>
      </c>
      <c r="G607" s="2">
        <v>1215936</v>
      </c>
      <c r="H607" s="2">
        <v>227988</v>
      </c>
      <c r="I607" s="2">
        <v>1804905</v>
      </c>
    </row>
    <row r="608" spans="1:9" x14ac:dyDescent="0.25">
      <c r="A608" s="1" t="s">
        <v>9</v>
      </c>
      <c r="B608" s="1" t="s">
        <v>55</v>
      </c>
      <c r="C608" s="1" t="s">
        <v>62</v>
      </c>
      <c r="D608" s="1" t="s">
        <v>105</v>
      </c>
      <c r="E608" s="1">
        <v>1759912</v>
      </c>
      <c r="F608" s="1">
        <v>239988</v>
      </c>
      <c r="G608" s="1">
        <v>999950</v>
      </c>
      <c r="H608" s="1">
        <v>1819909</v>
      </c>
      <c r="I608" s="1">
        <v>559972</v>
      </c>
    </row>
    <row r="609" spans="1:9" x14ac:dyDescent="0.25">
      <c r="A609" s="2" t="s">
        <v>9</v>
      </c>
      <c r="B609" s="2" t="s">
        <v>55</v>
      </c>
      <c r="C609" s="2" t="s">
        <v>63</v>
      </c>
      <c r="D609" s="2" t="s">
        <v>105</v>
      </c>
      <c r="E609" s="2">
        <v>375600</v>
      </c>
      <c r="F609" s="2">
        <v>328650</v>
      </c>
      <c r="G609" s="2">
        <v>619740</v>
      </c>
      <c r="H609" s="2">
        <v>816930</v>
      </c>
      <c r="I609" s="2">
        <v>929610</v>
      </c>
    </row>
    <row r="610" spans="1:9" x14ac:dyDescent="0.25">
      <c r="A610" s="1" t="s">
        <v>9</v>
      </c>
      <c r="B610" s="1" t="s">
        <v>55</v>
      </c>
      <c r="C610" s="1" t="s">
        <v>64</v>
      </c>
      <c r="D610" s="1" t="s">
        <v>105</v>
      </c>
      <c r="E610" s="1">
        <v>1323000</v>
      </c>
      <c r="F610" s="1">
        <v>1617000</v>
      </c>
      <c r="G610" s="1">
        <v>1995000</v>
      </c>
      <c r="H610" s="1">
        <v>840000</v>
      </c>
      <c r="I610" s="1">
        <v>1554000</v>
      </c>
    </row>
    <row r="611" spans="1:9" x14ac:dyDescent="0.25">
      <c r="A611" s="2" t="s">
        <v>9</v>
      </c>
      <c r="B611" s="2" t="s">
        <v>55</v>
      </c>
      <c r="C611" s="2" t="s">
        <v>65</v>
      </c>
      <c r="D611" s="2" t="s">
        <v>105</v>
      </c>
      <c r="E611" s="2">
        <v>650000</v>
      </c>
      <c r="F611" s="2">
        <v>2475000</v>
      </c>
      <c r="G611" s="2">
        <v>975000</v>
      </c>
      <c r="H611" s="2">
        <v>675000</v>
      </c>
      <c r="I611" s="2">
        <v>1525000</v>
      </c>
    </row>
    <row r="612" spans="1:9" x14ac:dyDescent="0.25">
      <c r="A612" s="1" t="s">
        <v>9</v>
      </c>
      <c r="B612" s="1" t="s">
        <v>66</v>
      </c>
      <c r="C612" s="1" t="s">
        <v>67</v>
      </c>
      <c r="D612" s="1" t="s">
        <v>105</v>
      </c>
      <c r="E612" s="1">
        <v>767976</v>
      </c>
      <c r="F612" s="1">
        <v>1823943</v>
      </c>
      <c r="G612" s="1">
        <v>1215962</v>
      </c>
      <c r="H612" s="1">
        <v>1439955</v>
      </c>
      <c r="I612" s="1">
        <v>2015937</v>
      </c>
    </row>
    <row r="613" spans="1:9" x14ac:dyDescent="0.25">
      <c r="A613" s="2" t="s">
        <v>9</v>
      </c>
      <c r="B613" s="2" t="s">
        <v>66</v>
      </c>
      <c r="C613" s="2" t="s">
        <v>68</v>
      </c>
      <c r="D613" s="2" t="s">
        <v>105</v>
      </c>
      <c r="E613" s="2">
        <v>543477</v>
      </c>
      <c r="F613" s="2">
        <v>576415</v>
      </c>
      <c r="G613" s="2">
        <v>395256</v>
      </c>
      <c r="H613" s="2">
        <v>1515148</v>
      </c>
      <c r="I613" s="2">
        <v>790512</v>
      </c>
    </row>
    <row r="614" spans="1:9" x14ac:dyDescent="0.25">
      <c r="A614" s="1" t="s">
        <v>9</v>
      </c>
      <c r="B614" s="1" t="s">
        <v>66</v>
      </c>
      <c r="C614" s="1" t="s">
        <v>69</v>
      </c>
      <c r="D614" s="1" t="s">
        <v>105</v>
      </c>
      <c r="E614" s="1">
        <v>188432</v>
      </c>
      <c r="F614" s="1">
        <v>565296</v>
      </c>
      <c r="G614" s="1">
        <v>871498</v>
      </c>
      <c r="H614" s="1">
        <v>753728</v>
      </c>
      <c r="I614" s="1">
        <v>577073</v>
      </c>
    </row>
    <row r="615" spans="1:9" x14ac:dyDescent="0.25">
      <c r="A615" s="2" t="s">
        <v>9</v>
      </c>
      <c r="B615" s="2" t="s">
        <v>66</v>
      </c>
      <c r="C615" s="2" t="s">
        <v>70</v>
      </c>
      <c r="D615" s="2" t="s">
        <v>105</v>
      </c>
      <c r="E615" s="2">
        <v>169568</v>
      </c>
      <c r="F615" s="2">
        <v>148372</v>
      </c>
      <c r="G615" s="2">
        <v>148372</v>
      </c>
      <c r="H615" s="2">
        <v>259651</v>
      </c>
      <c r="I615" s="2">
        <v>445116</v>
      </c>
    </row>
    <row r="616" spans="1:9" x14ac:dyDescent="0.25">
      <c r="A616" s="1" t="s">
        <v>9</v>
      </c>
      <c r="B616" s="1" t="s">
        <v>66</v>
      </c>
      <c r="C616" s="1" t="s">
        <v>71</v>
      </c>
      <c r="D616" s="1" t="s">
        <v>105</v>
      </c>
      <c r="E616" s="1">
        <v>623000</v>
      </c>
      <c r="F616" s="1">
        <v>703100</v>
      </c>
      <c r="G616" s="1">
        <v>640800</v>
      </c>
      <c r="H616" s="1">
        <v>133500</v>
      </c>
      <c r="I616" s="1">
        <v>115700</v>
      </c>
    </row>
    <row r="617" spans="1:9" x14ac:dyDescent="0.25">
      <c r="A617" s="2" t="s">
        <v>9</v>
      </c>
      <c r="B617" s="2" t="s">
        <v>66</v>
      </c>
      <c r="C617" s="2" t="s">
        <v>72</v>
      </c>
      <c r="D617" s="2" t="s">
        <v>105</v>
      </c>
      <c r="E617" s="2">
        <v>736692</v>
      </c>
      <c r="F617" s="2">
        <v>602748</v>
      </c>
      <c r="G617" s="2">
        <v>1942188</v>
      </c>
      <c r="H617" s="2">
        <v>267888</v>
      </c>
      <c r="I617" s="2">
        <v>736692</v>
      </c>
    </row>
    <row r="618" spans="1:9" x14ac:dyDescent="0.25">
      <c r="A618" s="1" t="s">
        <v>9</v>
      </c>
      <c r="B618" s="1" t="s">
        <v>66</v>
      </c>
      <c r="C618" s="1" t="s">
        <v>73</v>
      </c>
      <c r="D618" s="1" t="s">
        <v>105</v>
      </c>
      <c r="E618" s="1">
        <v>1923260</v>
      </c>
      <c r="F618" s="1">
        <v>2235140</v>
      </c>
      <c r="G618" s="1">
        <v>1559400</v>
      </c>
      <c r="H618" s="1">
        <v>1299500</v>
      </c>
      <c r="I618" s="1">
        <v>2105190</v>
      </c>
    </row>
    <row r="619" spans="1:9" x14ac:dyDescent="0.25">
      <c r="A619" s="2" t="s">
        <v>9</v>
      </c>
      <c r="B619" s="2" t="s">
        <v>66</v>
      </c>
      <c r="C619" s="2" t="s">
        <v>74</v>
      </c>
      <c r="D619" s="2" t="s">
        <v>105</v>
      </c>
      <c r="E619" s="2">
        <v>1620000</v>
      </c>
      <c r="F619" s="2">
        <v>780000</v>
      </c>
      <c r="G619" s="2">
        <v>1400000</v>
      </c>
      <c r="H619" s="2">
        <v>460000</v>
      </c>
      <c r="I619" s="2">
        <v>600000</v>
      </c>
    </row>
    <row r="620" spans="1:9" x14ac:dyDescent="0.25">
      <c r="A620" s="1" t="s">
        <v>9</v>
      </c>
      <c r="B620" s="1" t="s">
        <v>66</v>
      </c>
      <c r="C620" s="1" t="s">
        <v>75</v>
      </c>
      <c r="D620" s="1" t="s">
        <v>105</v>
      </c>
      <c r="E620" s="1">
        <v>1197000</v>
      </c>
      <c r="F620" s="1">
        <v>210000</v>
      </c>
      <c r="G620" s="1">
        <v>441000</v>
      </c>
      <c r="H620" s="1">
        <v>1197000</v>
      </c>
      <c r="I620" s="1">
        <v>630000</v>
      </c>
    </row>
    <row r="621" spans="1:9" x14ac:dyDescent="0.25">
      <c r="A621" s="2" t="s">
        <v>9</v>
      </c>
      <c r="B621" s="2" t="s">
        <v>66</v>
      </c>
      <c r="C621" s="2" t="s">
        <v>76</v>
      </c>
      <c r="D621" s="2" t="s">
        <v>105</v>
      </c>
      <c r="E621" s="2">
        <v>1760000</v>
      </c>
      <c r="F621" s="2">
        <v>726000</v>
      </c>
      <c r="G621" s="2">
        <v>1474000</v>
      </c>
      <c r="H621" s="2">
        <v>1056000</v>
      </c>
      <c r="I621" s="2">
        <v>286000</v>
      </c>
    </row>
    <row r="622" spans="1:9" x14ac:dyDescent="0.25">
      <c r="A622" s="1" t="s">
        <v>9</v>
      </c>
      <c r="B622" s="1" t="s">
        <v>77</v>
      </c>
      <c r="C622" s="1" t="s">
        <v>78</v>
      </c>
      <c r="D622" s="1" t="s">
        <v>105</v>
      </c>
      <c r="E622" s="1">
        <v>2380500</v>
      </c>
      <c r="F622" s="1">
        <v>2565650</v>
      </c>
      <c r="G622" s="1">
        <v>1639900</v>
      </c>
      <c r="H622" s="1">
        <v>2301150</v>
      </c>
      <c r="I622" s="1">
        <v>1454750</v>
      </c>
    </row>
    <row r="623" spans="1:9" x14ac:dyDescent="0.25">
      <c r="A623" s="2" t="s">
        <v>9</v>
      </c>
      <c r="B623" s="2" t="s">
        <v>77</v>
      </c>
      <c r="C623" s="2" t="s">
        <v>79</v>
      </c>
      <c r="D623" s="2" t="s">
        <v>105</v>
      </c>
      <c r="E623" s="2">
        <v>1843998</v>
      </c>
      <c r="F623" s="2">
        <v>902382</v>
      </c>
      <c r="G623" s="2">
        <v>843531</v>
      </c>
      <c r="H623" s="2">
        <v>451191</v>
      </c>
      <c r="I623" s="2">
        <v>1745913</v>
      </c>
    </row>
    <row r="624" spans="1:9" x14ac:dyDescent="0.25">
      <c r="A624" s="1" t="s">
        <v>9</v>
      </c>
      <c r="B624" s="1" t="s">
        <v>77</v>
      </c>
      <c r="C624" s="1" t="s">
        <v>80</v>
      </c>
      <c r="D624" s="1" t="s">
        <v>105</v>
      </c>
      <c r="E624" s="1">
        <v>1893540</v>
      </c>
      <c r="F624" s="1">
        <v>1721400</v>
      </c>
      <c r="G624" s="1">
        <v>1348430</v>
      </c>
      <c r="H624" s="1">
        <v>659870</v>
      </c>
      <c r="I624" s="1">
        <v>1778780</v>
      </c>
    </row>
    <row r="625" spans="1:9" x14ac:dyDescent="0.25">
      <c r="A625" s="2" t="s">
        <v>9</v>
      </c>
      <c r="B625" s="2" t="s">
        <v>77</v>
      </c>
      <c r="C625" s="2" t="s">
        <v>81</v>
      </c>
      <c r="D625" s="2" t="s">
        <v>105</v>
      </c>
      <c r="E625" s="2">
        <v>493740</v>
      </c>
      <c r="F625" s="2">
        <v>1766070</v>
      </c>
      <c r="G625" s="2">
        <v>1006470</v>
      </c>
      <c r="H625" s="2">
        <v>189900</v>
      </c>
      <c r="I625" s="2">
        <v>1405260</v>
      </c>
    </row>
    <row r="626" spans="1:9" x14ac:dyDescent="0.25">
      <c r="A626" s="1" t="s">
        <v>9</v>
      </c>
      <c r="B626" s="1" t="s">
        <v>77</v>
      </c>
      <c r="C626" s="1" t="s">
        <v>82</v>
      </c>
      <c r="D626" s="1" t="s">
        <v>105</v>
      </c>
      <c r="E626" s="1">
        <v>686620</v>
      </c>
      <c r="F626" s="1">
        <v>967510</v>
      </c>
      <c r="G626" s="1">
        <v>1966230</v>
      </c>
      <c r="H626" s="1">
        <v>842670</v>
      </c>
      <c r="I626" s="1">
        <v>3089790</v>
      </c>
    </row>
    <row r="627" spans="1:9" x14ac:dyDescent="0.25">
      <c r="A627" s="2" t="s">
        <v>9</v>
      </c>
      <c r="B627" s="2" t="s">
        <v>77</v>
      </c>
      <c r="C627" s="2" t="s">
        <v>83</v>
      </c>
      <c r="D627" s="2" t="s">
        <v>105</v>
      </c>
      <c r="E627" s="2">
        <v>700560</v>
      </c>
      <c r="F627" s="2">
        <v>2535360</v>
      </c>
      <c r="G627" s="2">
        <v>2034960</v>
      </c>
      <c r="H627" s="2">
        <v>834000</v>
      </c>
      <c r="I627" s="2">
        <v>633840</v>
      </c>
    </row>
    <row r="628" spans="1:9" x14ac:dyDescent="0.25">
      <c r="A628" s="1" t="s">
        <v>9</v>
      </c>
      <c r="B628" s="1" t="s">
        <v>77</v>
      </c>
      <c r="C628" s="1" t="s">
        <v>84</v>
      </c>
      <c r="D628" s="1" t="s">
        <v>105</v>
      </c>
      <c r="E628" s="1">
        <v>319984</v>
      </c>
      <c r="F628" s="1">
        <v>719964</v>
      </c>
      <c r="G628" s="1">
        <v>659967</v>
      </c>
      <c r="H628" s="1">
        <v>1079946</v>
      </c>
      <c r="I628" s="1">
        <v>559972</v>
      </c>
    </row>
    <row r="629" spans="1:9" x14ac:dyDescent="0.25">
      <c r="A629" s="2" t="s">
        <v>9</v>
      </c>
      <c r="B629" s="2" t="s">
        <v>77</v>
      </c>
      <c r="C629" s="2" t="s">
        <v>85</v>
      </c>
      <c r="D629" s="2" t="s">
        <v>105</v>
      </c>
      <c r="E629" s="2">
        <v>988400</v>
      </c>
      <c r="F629" s="2">
        <v>335350</v>
      </c>
      <c r="G629" s="2">
        <v>441250</v>
      </c>
      <c r="H629" s="2">
        <v>564800</v>
      </c>
      <c r="I629" s="2">
        <v>1376700</v>
      </c>
    </row>
    <row r="630" spans="1:9" x14ac:dyDescent="0.25">
      <c r="A630" s="1" t="s">
        <v>9</v>
      </c>
      <c r="B630" s="1" t="s">
        <v>77</v>
      </c>
      <c r="C630" s="1" t="s">
        <v>86</v>
      </c>
      <c r="D630" s="1" t="s">
        <v>105</v>
      </c>
      <c r="E630" s="1">
        <v>577600</v>
      </c>
      <c r="F630" s="1">
        <v>1489600</v>
      </c>
      <c r="G630" s="1">
        <v>1261600</v>
      </c>
      <c r="H630" s="1">
        <v>425600</v>
      </c>
      <c r="I630" s="1">
        <v>456000</v>
      </c>
    </row>
    <row r="631" spans="1:9" x14ac:dyDescent="0.25">
      <c r="A631" s="2" t="s">
        <v>9</v>
      </c>
      <c r="B631" s="2" t="s">
        <v>77</v>
      </c>
      <c r="C631" s="2" t="s">
        <v>87</v>
      </c>
      <c r="D631" s="2" t="s">
        <v>105</v>
      </c>
      <c r="E631" s="2">
        <v>1606500</v>
      </c>
      <c r="F631" s="2">
        <v>1721250</v>
      </c>
      <c r="G631" s="2">
        <v>2042550</v>
      </c>
      <c r="H631" s="2">
        <v>1491750</v>
      </c>
      <c r="I631" s="2">
        <v>619650</v>
      </c>
    </row>
    <row r="632" spans="1:9" x14ac:dyDescent="0.25">
      <c r="A632" s="1" t="s">
        <v>9</v>
      </c>
      <c r="B632" s="1" t="s">
        <v>88</v>
      </c>
      <c r="C632" s="1" t="s">
        <v>89</v>
      </c>
      <c r="D632" s="1" t="s">
        <v>105</v>
      </c>
      <c r="E632" s="1">
        <v>1380000</v>
      </c>
      <c r="F632" s="1">
        <v>3450000</v>
      </c>
      <c r="G632" s="1">
        <v>2012500</v>
      </c>
      <c r="H632" s="1">
        <v>4945000</v>
      </c>
      <c r="I632" s="1">
        <v>2875000</v>
      </c>
    </row>
    <row r="633" spans="1:9" x14ac:dyDescent="0.25">
      <c r="A633" s="2" t="s">
        <v>9</v>
      </c>
      <c r="B633" s="2" t="s">
        <v>88</v>
      </c>
      <c r="C633" s="2" t="s">
        <v>90</v>
      </c>
      <c r="D633" s="2" t="s">
        <v>105</v>
      </c>
      <c r="E633" s="2">
        <v>3054000</v>
      </c>
      <c r="F633" s="2">
        <v>2086900</v>
      </c>
      <c r="G633" s="2">
        <v>2188700</v>
      </c>
      <c r="H633" s="2">
        <v>4122900</v>
      </c>
      <c r="I633" s="2">
        <v>4377400</v>
      </c>
    </row>
    <row r="634" spans="1:9" x14ac:dyDescent="0.25">
      <c r="A634" s="1" t="s">
        <v>9</v>
      </c>
      <c r="B634" s="1" t="s">
        <v>88</v>
      </c>
      <c r="C634" s="1" t="s">
        <v>91</v>
      </c>
      <c r="D634" s="1" t="s">
        <v>105</v>
      </c>
      <c r="E634" s="1">
        <v>4450000</v>
      </c>
      <c r="F634" s="1">
        <v>1913500</v>
      </c>
      <c r="G634" s="1">
        <v>1023500</v>
      </c>
      <c r="H634" s="1">
        <v>4227500</v>
      </c>
      <c r="I634" s="1">
        <v>2136000</v>
      </c>
    </row>
    <row r="635" spans="1:9" x14ac:dyDescent="0.25">
      <c r="A635" s="2" t="s">
        <v>9</v>
      </c>
      <c r="B635" s="2" t="s">
        <v>88</v>
      </c>
      <c r="C635" s="2" t="s">
        <v>92</v>
      </c>
      <c r="D635" s="2" t="s">
        <v>105</v>
      </c>
      <c r="E635" s="2">
        <v>1970800</v>
      </c>
      <c r="F635" s="2">
        <v>720100</v>
      </c>
      <c r="G635" s="2">
        <v>3183600</v>
      </c>
      <c r="H635" s="2">
        <v>2501400</v>
      </c>
      <c r="I635" s="2">
        <v>1364400</v>
      </c>
    </row>
    <row r="636" spans="1:9" x14ac:dyDescent="0.25">
      <c r="A636" s="1" t="s">
        <v>9</v>
      </c>
      <c r="B636" s="1" t="s">
        <v>88</v>
      </c>
      <c r="C636" s="1" t="s">
        <v>93</v>
      </c>
      <c r="D636" s="1" t="s">
        <v>105</v>
      </c>
      <c r="E636" s="1">
        <v>295000</v>
      </c>
      <c r="F636" s="1">
        <v>2448500</v>
      </c>
      <c r="G636" s="1">
        <v>1917500</v>
      </c>
      <c r="H636" s="1">
        <v>324500</v>
      </c>
      <c r="I636" s="1">
        <v>1209500</v>
      </c>
    </row>
    <row r="637" spans="1:9" x14ac:dyDescent="0.25">
      <c r="A637" s="2" t="s">
        <v>9</v>
      </c>
      <c r="B637" s="2" t="s">
        <v>88</v>
      </c>
      <c r="C637" s="2" t="s">
        <v>94</v>
      </c>
      <c r="D637" s="2" t="s">
        <v>105</v>
      </c>
      <c r="E637" s="2">
        <v>1449000</v>
      </c>
      <c r="F637" s="2">
        <v>1173000</v>
      </c>
      <c r="G637" s="2">
        <v>793500</v>
      </c>
      <c r="H637" s="2">
        <v>3277500</v>
      </c>
      <c r="I637" s="2">
        <v>2553000</v>
      </c>
    </row>
    <row r="638" spans="1:9" x14ac:dyDescent="0.25">
      <c r="A638" s="1" t="s">
        <v>9</v>
      </c>
      <c r="B638" s="1" t="s">
        <v>88</v>
      </c>
      <c r="C638" s="1" t="s">
        <v>95</v>
      </c>
      <c r="D638" s="1" t="s">
        <v>105</v>
      </c>
      <c r="E638" s="1">
        <v>1975000</v>
      </c>
      <c r="F638" s="1">
        <v>1580000</v>
      </c>
      <c r="G638" s="1">
        <v>2804500</v>
      </c>
      <c r="H638" s="1">
        <v>3002000</v>
      </c>
      <c r="I638" s="1">
        <v>3634000</v>
      </c>
    </row>
    <row r="639" spans="1:9" x14ac:dyDescent="0.25">
      <c r="A639" s="2" t="s">
        <v>9</v>
      </c>
      <c r="B639" s="2" t="s">
        <v>88</v>
      </c>
      <c r="C639" s="2" t="s">
        <v>96</v>
      </c>
      <c r="D639" s="2" t="s">
        <v>105</v>
      </c>
      <c r="E639" s="2">
        <v>2583000</v>
      </c>
      <c r="F639" s="2">
        <v>1549800</v>
      </c>
      <c r="G639" s="2">
        <v>1180800</v>
      </c>
      <c r="H639" s="2">
        <v>1992600</v>
      </c>
      <c r="I639" s="2">
        <v>1291500</v>
      </c>
    </row>
    <row r="640" spans="1:9" x14ac:dyDescent="0.25">
      <c r="A640" s="1" t="s">
        <v>9</v>
      </c>
      <c r="B640" s="1" t="s">
        <v>88</v>
      </c>
      <c r="C640" s="1" t="s">
        <v>97</v>
      </c>
      <c r="D640" s="1" t="s">
        <v>105</v>
      </c>
      <c r="E640" s="1">
        <v>2933000</v>
      </c>
      <c r="F640" s="1">
        <v>1717900</v>
      </c>
      <c r="G640" s="1">
        <v>4148100</v>
      </c>
      <c r="H640" s="1">
        <v>2891100</v>
      </c>
      <c r="I640" s="1">
        <v>1550300</v>
      </c>
    </row>
    <row r="641" spans="1:9" x14ac:dyDescent="0.25">
      <c r="A641" s="2" t="s">
        <v>9</v>
      </c>
      <c r="B641" s="2" t="s">
        <v>88</v>
      </c>
      <c r="C641" s="2" t="s">
        <v>98</v>
      </c>
      <c r="D641" s="2" t="s">
        <v>105</v>
      </c>
      <c r="E641" s="2">
        <v>1782200</v>
      </c>
      <c r="F641" s="2">
        <v>3939600</v>
      </c>
      <c r="G641" s="2">
        <v>3189200</v>
      </c>
      <c r="H641" s="2">
        <v>4080300</v>
      </c>
      <c r="I641" s="2">
        <v>469000</v>
      </c>
    </row>
    <row r="642" spans="1:9" x14ac:dyDescent="0.25">
      <c r="A642" s="1" t="s">
        <v>99</v>
      </c>
      <c r="B642" s="1" t="s">
        <v>10</v>
      </c>
      <c r="C642" s="1" t="s">
        <v>11</v>
      </c>
      <c r="D642" s="1" t="s">
        <v>105</v>
      </c>
      <c r="E642" s="1">
        <v>689977</v>
      </c>
      <c r="F642" s="1">
        <v>1409953</v>
      </c>
      <c r="G642" s="1">
        <v>2009933</v>
      </c>
      <c r="H642" s="1">
        <v>2789907</v>
      </c>
      <c r="I642" s="1">
        <v>1079964</v>
      </c>
    </row>
    <row r="643" spans="1:9" x14ac:dyDescent="0.25">
      <c r="A643" s="2" t="s">
        <v>99</v>
      </c>
      <c r="B643" s="2" t="s">
        <v>10</v>
      </c>
      <c r="C643" s="2" t="s">
        <v>13</v>
      </c>
      <c r="D643" s="2" t="s">
        <v>105</v>
      </c>
      <c r="E643" s="2">
        <v>1287318</v>
      </c>
      <c r="F643" s="2">
        <v>1507104</v>
      </c>
      <c r="G643" s="2">
        <v>1334415</v>
      </c>
      <c r="H643" s="2">
        <v>251184</v>
      </c>
      <c r="I643" s="2">
        <v>361077</v>
      </c>
    </row>
    <row r="644" spans="1:9" x14ac:dyDescent="0.25">
      <c r="A644" s="1" t="s">
        <v>99</v>
      </c>
      <c r="B644" s="1" t="s">
        <v>10</v>
      </c>
      <c r="C644" s="1" t="s">
        <v>14</v>
      </c>
      <c r="D644" s="1" t="s">
        <v>105</v>
      </c>
      <c r="E644" s="1">
        <v>867600</v>
      </c>
      <c r="F644" s="1">
        <v>636240</v>
      </c>
      <c r="G644" s="1">
        <v>1272480</v>
      </c>
      <c r="H644" s="1">
        <v>780840</v>
      </c>
      <c r="I644" s="1">
        <v>202440</v>
      </c>
    </row>
    <row r="645" spans="1:9" x14ac:dyDescent="0.25">
      <c r="A645" s="2" t="s">
        <v>99</v>
      </c>
      <c r="B645" s="2" t="s">
        <v>10</v>
      </c>
      <c r="C645" s="2" t="s">
        <v>15</v>
      </c>
      <c r="D645" s="2" t="s">
        <v>105</v>
      </c>
      <c r="E645" s="2">
        <v>1699900</v>
      </c>
      <c r="F645" s="2">
        <v>1461914</v>
      </c>
      <c r="G645" s="2">
        <v>1461914</v>
      </c>
      <c r="H645" s="2">
        <v>900947</v>
      </c>
      <c r="I645" s="2">
        <v>237986</v>
      </c>
    </row>
    <row r="646" spans="1:9" x14ac:dyDescent="0.25">
      <c r="A646" s="1" t="s">
        <v>99</v>
      </c>
      <c r="B646" s="1" t="s">
        <v>10</v>
      </c>
      <c r="C646" s="1" t="s">
        <v>16</v>
      </c>
      <c r="D646" s="1" t="s">
        <v>105</v>
      </c>
      <c r="E646" s="1">
        <v>485775</v>
      </c>
      <c r="F646" s="1">
        <v>228600</v>
      </c>
      <c r="G646" s="1">
        <v>628650</v>
      </c>
      <c r="H646" s="1">
        <v>733425</v>
      </c>
      <c r="I646" s="1">
        <v>323850</v>
      </c>
    </row>
    <row r="647" spans="1:9" x14ac:dyDescent="0.25">
      <c r="A647" s="2" t="s">
        <v>99</v>
      </c>
      <c r="B647" s="2" t="s">
        <v>10</v>
      </c>
      <c r="C647" s="2" t="s">
        <v>17</v>
      </c>
      <c r="D647" s="2" t="s">
        <v>105</v>
      </c>
      <c r="E647" s="2">
        <v>1043100</v>
      </c>
      <c r="F647" s="2">
        <v>649800</v>
      </c>
      <c r="G647" s="2">
        <v>1539000</v>
      </c>
      <c r="H647" s="2">
        <v>615600</v>
      </c>
      <c r="I647" s="2">
        <v>1402200</v>
      </c>
    </row>
    <row r="648" spans="1:9" x14ac:dyDescent="0.25">
      <c r="A648" s="1" t="s">
        <v>99</v>
      </c>
      <c r="B648" s="1" t="s">
        <v>10</v>
      </c>
      <c r="C648" s="1" t="s">
        <v>18</v>
      </c>
      <c r="D648" s="1" t="s">
        <v>105</v>
      </c>
      <c r="E648" s="1">
        <v>916030</v>
      </c>
      <c r="F648" s="1">
        <v>721130</v>
      </c>
      <c r="G648" s="1">
        <v>682150</v>
      </c>
      <c r="H648" s="1">
        <v>1734610</v>
      </c>
      <c r="I648" s="1">
        <v>311840</v>
      </c>
    </row>
    <row r="649" spans="1:9" x14ac:dyDescent="0.25">
      <c r="A649" s="2" t="s">
        <v>99</v>
      </c>
      <c r="B649" s="2" t="s">
        <v>10</v>
      </c>
      <c r="C649" s="2" t="s">
        <v>19</v>
      </c>
      <c r="D649" s="2" t="s">
        <v>105</v>
      </c>
      <c r="E649" s="2">
        <v>1838440</v>
      </c>
      <c r="F649" s="2">
        <v>1233690</v>
      </c>
      <c r="G649" s="2">
        <v>798270</v>
      </c>
      <c r="H649" s="2">
        <v>1499780</v>
      </c>
      <c r="I649" s="2">
        <v>1015980</v>
      </c>
    </row>
    <row r="650" spans="1:9" x14ac:dyDescent="0.25">
      <c r="A650" s="1" t="s">
        <v>99</v>
      </c>
      <c r="B650" s="1" t="s">
        <v>10</v>
      </c>
      <c r="C650" s="1" t="s">
        <v>20</v>
      </c>
      <c r="D650" s="1" t="s">
        <v>105</v>
      </c>
      <c r="E650" s="1">
        <v>359550</v>
      </c>
      <c r="F650" s="1">
        <v>279650</v>
      </c>
      <c r="G650" s="1">
        <v>255680</v>
      </c>
      <c r="H650" s="1">
        <v>351560</v>
      </c>
      <c r="I650" s="1">
        <v>383520</v>
      </c>
    </row>
    <row r="651" spans="1:9" x14ac:dyDescent="0.25">
      <c r="A651" s="2" t="s">
        <v>99</v>
      </c>
      <c r="B651" s="2" t="s">
        <v>10</v>
      </c>
      <c r="C651" s="2" t="s">
        <v>21</v>
      </c>
      <c r="D651" s="2" t="s">
        <v>105</v>
      </c>
      <c r="E651" s="2">
        <v>736290</v>
      </c>
      <c r="F651" s="2">
        <v>172710</v>
      </c>
      <c r="G651" s="2">
        <v>890820</v>
      </c>
      <c r="H651" s="2">
        <v>418140</v>
      </c>
      <c r="I651" s="2">
        <v>181800</v>
      </c>
    </row>
    <row r="652" spans="1:9" x14ac:dyDescent="0.25">
      <c r="A652" s="1" t="s">
        <v>99</v>
      </c>
      <c r="B652" s="1" t="s">
        <v>22</v>
      </c>
      <c r="C652" s="1" t="s">
        <v>23</v>
      </c>
      <c r="D652" s="1" t="s">
        <v>105</v>
      </c>
      <c r="E652" s="1">
        <v>283184</v>
      </c>
      <c r="F652" s="1">
        <v>1168134</v>
      </c>
      <c r="G652" s="1">
        <v>1592910</v>
      </c>
      <c r="H652" s="1">
        <v>1079639</v>
      </c>
      <c r="I652" s="1">
        <v>1132736</v>
      </c>
    </row>
    <row r="653" spans="1:9" x14ac:dyDescent="0.25">
      <c r="A653" s="2" t="s">
        <v>99</v>
      </c>
      <c r="B653" s="2" t="s">
        <v>22</v>
      </c>
      <c r="C653" s="2" t="s">
        <v>24</v>
      </c>
      <c r="D653" s="2" t="s">
        <v>105</v>
      </c>
      <c r="E653" s="2">
        <v>2093421</v>
      </c>
      <c r="F653" s="2">
        <v>741972</v>
      </c>
      <c r="G653" s="2">
        <v>1695936</v>
      </c>
      <c r="H653" s="2">
        <v>2490906</v>
      </c>
      <c r="I653" s="2">
        <v>768471</v>
      </c>
    </row>
    <row r="654" spans="1:9" x14ac:dyDescent="0.25">
      <c r="A654" s="1" t="s">
        <v>99</v>
      </c>
      <c r="B654" s="1" t="s">
        <v>22</v>
      </c>
      <c r="C654" s="1" t="s">
        <v>25</v>
      </c>
      <c r="D654" s="1" t="s">
        <v>105</v>
      </c>
      <c r="E654" s="1">
        <v>1444120</v>
      </c>
      <c r="F654" s="1">
        <v>1809720</v>
      </c>
      <c r="G654" s="1">
        <v>1809720</v>
      </c>
      <c r="H654" s="1">
        <v>914000</v>
      </c>
      <c r="I654" s="1">
        <v>1645200</v>
      </c>
    </row>
    <row r="655" spans="1:9" x14ac:dyDescent="0.25">
      <c r="A655" s="2" t="s">
        <v>99</v>
      </c>
      <c r="B655" s="2" t="s">
        <v>22</v>
      </c>
      <c r="C655" s="2" t="s">
        <v>26</v>
      </c>
      <c r="D655" s="2" t="s">
        <v>105</v>
      </c>
      <c r="E655" s="2">
        <v>114240</v>
      </c>
      <c r="F655" s="2">
        <v>549780</v>
      </c>
      <c r="G655" s="2">
        <v>307020</v>
      </c>
      <c r="H655" s="2">
        <v>321300</v>
      </c>
      <c r="I655" s="2">
        <v>271320</v>
      </c>
    </row>
    <row r="656" spans="1:9" x14ac:dyDescent="0.25">
      <c r="A656" s="1" t="s">
        <v>99</v>
      </c>
      <c r="B656" s="1" t="s">
        <v>22</v>
      </c>
      <c r="C656" s="1" t="s">
        <v>27</v>
      </c>
      <c r="D656" s="1" t="s">
        <v>105</v>
      </c>
      <c r="E656" s="1">
        <v>509280</v>
      </c>
      <c r="F656" s="1">
        <v>2291760</v>
      </c>
      <c r="G656" s="1">
        <v>1496010</v>
      </c>
      <c r="H656" s="1">
        <v>2928360</v>
      </c>
      <c r="I656" s="1">
        <v>381960</v>
      </c>
    </row>
    <row r="657" spans="1:9" x14ac:dyDescent="0.25">
      <c r="A657" s="2" t="s">
        <v>99</v>
      </c>
      <c r="B657" s="2" t="s">
        <v>22</v>
      </c>
      <c r="C657" s="2" t="s">
        <v>28</v>
      </c>
      <c r="D657" s="2" t="s">
        <v>105</v>
      </c>
      <c r="E657" s="2">
        <v>1536900</v>
      </c>
      <c r="F657" s="2">
        <v>2125500</v>
      </c>
      <c r="G657" s="2">
        <v>2812200</v>
      </c>
      <c r="H657" s="2">
        <v>3171900</v>
      </c>
      <c r="I657" s="2">
        <v>555900</v>
      </c>
    </row>
    <row r="658" spans="1:9" x14ac:dyDescent="0.25">
      <c r="A658" s="1" t="s">
        <v>99</v>
      </c>
      <c r="B658" s="1" t="s">
        <v>22</v>
      </c>
      <c r="C658" s="1" t="s">
        <v>29</v>
      </c>
      <c r="D658" s="1" t="s">
        <v>105</v>
      </c>
      <c r="E658" s="1">
        <v>1110350</v>
      </c>
      <c r="F658" s="1">
        <v>1445550</v>
      </c>
      <c r="G658" s="1">
        <v>1738850</v>
      </c>
      <c r="H658" s="1">
        <v>1613150</v>
      </c>
      <c r="I658" s="1">
        <v>754200</v>
      </c>
    </row>
    <row r="659" spans="1:9" x14ac:dyDescent="0.25">
      <c r="A659" s="2" t="s">
        <v>99</v>
      </c>
      <c r="B659" s="2" t="s">
        <v>22</v>
      </c>
      <c r="C659" s="2" t="s">
        <v>30</v>
      </c>
      <c r="D659" s="2" t="s">
        <v>105</v>
      </c>
      <c r="E659" s="2">
        <v>1097800</v>
      </c>
      <c r="F659" s="2">
        <v>1383228</v>
      </c>
      <c r="G659" s="2">
        <v>636724</v>
      </c>
      <c r="H659" s="2">
        <v>966064</v>
      </c>
      <c r="I659" s="2">
        <v>1844304</v>
      </c>
    </row>
    <row r="660" spans="1:9" x14ac:dyDescent="0.25">
      <c r="A660" s="1" t="s">
        <v>99</v>
      </c>
      <c r="B660" s="1" t="s">
        <v>22</v>
      </c>
      <c r="C660" s="1" t="s">
        <v>31</v>
      </c>
      <c r="D660" s="1" t="s">
        <v>105</v>
      </c>
      <c r="E660" s="1">
        <v>741510</v>
      </c>
      <c r="F660" s="1">
        <v>434420</v>
      </c>
      <c r="G660" s="1">
        <v>239680</v>
      </c>
      <c r="H660" s="1">
        <v>202230</v>
      </c>
      <c r="I660" s="1">
        <v>97370</v>
      </c>
    </row>
    <row r="661" spans="1:9" x14ac:dyDescent="0.25">
      <c r="A661" s="2" t="s">
        <v>99</v>
      </c>
      <c r="B661" s="2" t="s">
        <v>22</v>
      </c>
      <c r="C661" s="2" t="s">
        <v>32</v>
      </c>
      <c r="D661" s="2" t="s">
        <v>105</v>
      </c>
      <c r="E661" s="2">
        <v>1322250</v>
      </c>
      <c r="F661" s="2">
        <v>2706000</v>
      </c>
      <c r="G661" s="2">
        <v>768750</v>
      </c>
      <c r="H661" s="2">
        <v>1045500</v>
      </c>
      <c r="I661" s="2">
        <v>738000</v>
      </c>
    </row>
    <row r="662" spans="1:9" x14ac:dyDescent="0.25">
      <c r="A662" s="1" t="s">
        <v>99</v>
      </c>
      <c r="B662" s="1" t="s">
        <v>33</v>
      </c>
      <c r="C662" s="1" t="s">
        <v>34</v>
      </c>
      <c r="D662" s="1" t="s">
        <v>105</v>
      </c>
      <c r="E662" s="1">
        <v>246000</v>
      </c>
      <c r="F662" s="1">
        <v>369000</v>
      </c>
      <c r="G662" s="1">
        <v>270600</v>
      </c>
      <c r="H662" s="1">
        <v>934800</v>
      </c>
      <c r="I662" s="1">
        <v>319800</v>
      </c>
    </row>
    <row r="663" spans="1:9" x14ac:dyDescent="0.25">
      <c r="A663" s="2" t="s">
        <v>99</v>
      </c>
      <c r="B663" s="2" t="s">
        <v>33</v>
      </c>
      <c r="C663" s="2" t="s">
        <v>35</v>
      </c>
      <c r="D663" s="2" t="s">
        <v>105</v>
      </c>
      <c r="E663" s="2">
        <v>1344000</v>
      </c>
      <c r="F663" s="2">
        <v>2184000</v>
      </c>
      <c r="G663" s="2">
        <v>1624000</v>
      </c>
      <c r="H663" s="2">
        <v>2632000</v>
      </c>
      <c r="I663" s="2">
        <v>2464000</v>
      </c>
    </row>
    <row r="664" spans="1:9" x14ac:dyDescent="0.25">
      <c r="A664" s="1" t="s">
        <v>99</v>
      </c>
      <c r="B664" s="1" t="s">
        <v>33</v>
      </c>
      <c r="C664" s="1" t="s">
        <v>36</v>
      </c>
      <c r="D664" s="1" t="s">
        <v>105</v>
      </c>
      <c r="E664" s="1">
        <v>1141710</v>
      </c>
      <c r="F664" s="1">
        <v>400600</v>
      </c>
      <c r="G664" s="1">
        <v>1842760</v>
      </c>
      <c r="H664" s="1">
        <v>1061590</v>
      </c>
      <c r="I664" s="1">
        <v>380570</v>
      </c>
    </row>
    <row r="665" spans="1:9" x14ac:dyDescent="0.25">
      <c r="A665" s="2" t="s">
        <v>99</v>
      </c>
      <c r="B665" s="2" t="s">
        <v>33</v>
      </c>
      <c r="C665" s="2" t="s">
        <v>37</v>
      </c>
      <c r="D665" s="2" t="s">
        <v>105</v>
      </c>
      <c r="E665" s="2">
        <v>396000</v>
      </c>
      <c r="F665" s="2">
        <v>1702800</v>
      </c>
      <c r="G665" s="2">
        <v>336600</v>
      </c>
      <c r="H665" s="2">
        <v>455400</v>
      </c>
      <c r="I665" s="2">
        <v>613800</v>
      </c>
    </row>
    <row r="666" spans="1:9" x14ac:dyDescent="0.25">
      <c r="A666" s="1" t="s">
        <v>99</v>
      </c>
      <c r="B666" s="1" t="s">
        <v>33</v>
      </c>
      <c r="C666" s="1" t="s">
        <v>38</v>
      </c>
      <c r="D666" s="1" t="s">
        <v>105</v>
      </c>
      <c r="E666" s="1">
        <v>1350000</v>
      </c>
      <c r="F666" s="1">
        <v>180000</v>
      </c>
      <c r="G666" s="1">
        <v>792000</v>
      </c>
      <c r="H666" s="1">
        <v>1530000</v>
      </c>
      <c r="I666" s="1">
        <v>1494000</v>
      </c>
    </row>
    <row r="667" spans="1:9" x14ac:dyDescent="0.25">
      <c r="A667" s="2" t="s">
        <v>99</v>
      </c>
      <c r="B667" s="2" t="s">
        <v>33</v>
      </c>
      <c r="C667" s="2" t="s">
        <v>39</v>
      </c>
      <c r="D667" s="2" t="s">
        <v>105</v>
      </c>
      <c r="E667" s="2">
        <v>1486650</v>
      </c>
      <c r="F667" s="2">
        <v>1241790</v>
      </c>
      <c r="G667" s="2">
        <v>262350</v>
      </c>
      <c r="H667" s="2">
        <v>1469160</v>
      </c>
      <c r="I667" s="2">
        <v>1626570</v>
      </c>
    </row>
    <row r="668" spans="1:9" x14ac:dyDescent="0.25">
      <c r="A668" s="1" t="s">
        <v>99</v>
      </c>
      <c r="B668" s="1" t="s">
        <v>33</v>
      </c>
      <c r="C668" s="1" t="s">
        <v>40</v>
      </c>
      <c r="D668" s="1" t="s">
        <v>105</v>
      </c>
      <c r="E668" s="1">
        <v>375030</v>
      </c>
      <c r="F668" s="1">
        <v>166680</v>
      </c>
      <c r="G668" s="1">
        <v>527820</v>
      </c>
      <c r="H668" s="1">
        <v>722280</v>
      </c>
      <c r="I668" s="1">
        <v>152790</v>
      </c>
    </row>
    <row r="669" spans="1:9" x14ac:dyDescent="0.25">
      <c r="A669" s="2" t="s">
        <v>99</v>
      </c>
      <c r="B669" s="2" t="s">
        <v>33</v>
      </c>
      <c r="C669" s="2" t="s">
        <v>41</v>
      </c>
      <c r="D669" s="2" t="s">
        <v>105</v>
      </c>
      <c r="E669" s="2">
        <v>1259000</v>
      </c>
      <c r="F669" s="2">
        <v>415470</v>
      </c>
      <c r="G669" s="2">
        <v>1095330</v>
      </c>
      <c r="H669" s="2">
        <v>239210</v>
      </c>
      <c r="I669" s="2">
        <v>830940</v>
      </c>
    </row>
    <row r="670" spans="1:9" x14ac:dyDescent="0.25">
      <c r="A670" s="1" t="s">
        <v>99</v>
      </c>
      <c r="B670" s="1" t="s">
        <v>33</v>
      </c>
      <c r="C670" s="1" t="s">
        <v>42</v>
      </c>
      <c r="D670" s="1" t="s">
        <v>105</v>
      </c>
      <c r="E670" s="1">
        <v>294335</v>
      </c>
      <c r="F670" s="1">
        <v>184815</v>
      </c>
      <c r="G670" s="1">
        <v>273800</v>
      </c>
      <c r="H670" s="1">
        <v>650275</v>
      </c>
      <c r="I670" s="1">
        <v>588670</v>
      </c>
    </row>
    <row r="671" spans="1:9" x14ac:dyDescent="0.25">
      <c r="A671" s="2" t="s">
        <v>99</v>
      </c>
      <c r="B671" s="2" t="s">
        <v>33</v>
      </c>
      <c r="C671" s="2" t="s">
        <v>43</v>
      </c>
      <c r="D671" s="2" t="s">
        <v>105</v>
      </c>
      <c r="E671" s="2">
        <v>600000</v>
      </c>
      <c r="F671" s="2">
        <v>360000</v>
      </c>
      <c r="G671" s="2">
        <v>412500</v>
      </c>
      <c r="H671" s="2">
        <v>750000</v>
      </c>
      <c r="I671" s="2">
        <v>532500</v>
      </c>
    </row>
    <row r="672" spans="1:9" x14ac:dyDescent="0.25">
      <c r="A672" s="1" t="s">
        <v>99</v>
      </c>
      <c r="B672" s="1" t="s">
        <v>44</v>
      </c>
      <c r="C672" s="1" t="s">
        <v>45</v>
      </c>
      <c r="D672" s="1" t="s">
        <v>105</v>
      </c>
      <c r="E672" s="1">
        <v>1517560</v>
      </c>
      <c r="F672" s="1">
        <v>2379810</v>
      </c>
      <c r="G672" s="1">
        <v>551840</v>
      </c>
      <c r="H672" s="1">
        <v>620820</v>
      </c>
      <c r="I672" s="1">
        <v>3104100</v>
      </c>
    </row>
    <row r="673" spans="1:9" x14ac:dyDescent="0.25">
      <c r="A673" s="2" t="s">
        <v>99</v>
      </c>
      <c r="B673" s="2" t="s">
        <v>44</v>
      </c>
      <c r="C673" s="2" t="s">
        <v>46</v>
      </c>
      <c r="D673" s="2" t="s">
        <v>105</v>
      </c>
      <c r="E673" s="2">
        <v>1038000</v>
      </c>
      <c r="F673" s="2">
        <v>986100</v>
      </c>
      <c r="G673" s="2">
        <v>363300</v>
      </c>
      <c r="H673" s="2">
        <v>1686750</v>
      </c>
      <c r="I673" s="2">
        <v>1790550</v>
      </c>
    </row>
    <row r="674" spans="1:9" x14ac:dyDescent="0.25">
      <c r="A674" s="1" t="s">
        <v>99</v>
      </c>
      <c r="B674" s="1" t="s">
        <v>44</v>
      </c>
      <c r="C674" s="1" t="s">
        <v>47</v>
      </c>
      <c r="D674" s="1" t="s">
        <v>105</v>
      </c>
      <c r="E674" s="1">
        <v>1439400</v>
      </c>
      <c r="F674" s="1">
        <v>2135110</v>
      </c>
      <c r="G674" s="1">
        <v>1103540</v>
      </c>
      <c r="H674" s="1">
        <v>1871220</v>
      </c>
      <c r="I674" s="1">
        <v>263890</v>
      </c>
    </row>
    <row r="675" spans="1:9" x14ac:dyDescent="0.25">
      <c r="A675" s="2" t="s">
        <v>99</v>
      </c>
      <c r="B675" s="2" t="s">
        <v>44</v>
      </c>
      <c r="C675" s="2" t="s">
        <v>48</v>
      </c>
      <c r="D675" s="2" t="s">
        <v>105</v>
      </c>
      <c r="E675" s="2">
        <v>1066903</v>
      </c>
      <c r="F675" s="2">
        <v>219980</v>
      </c>
      <c r="G675" s="2">
        <v>329970</v>
      </c>
      <c r="H675" s="2">
        <v>604945</v>
      </c>
      <c r="I675" s="2">
        <v>615944</v>
      </c>
    </row>
    <row r="676" spans="1:9" x14ac:dyDescent="0.25">
      <c r="A676" s="1" t="s">
        <v>99</v>
      </c>
      <c r="B676" s="1" t="s">
        <v>44</v>
      </c>
      <c r="C676" s="1" t="s">
        <v>49</v>
      </c>
      <c r="D676" s="1" t="s">
        <v>105</v>
      </c>
      <c r="E676" s="1">
        <v>560000</v>
      </c>
      <c r="F676" s="1">
        <v>3465000</v>
      </c>
      <c r="G676" s="1">
        <v>1540000</v>
      </c>
      <c r="H676" s="1">
        <v>1610000</v>
      </c>
      <c r="I676" s="1">
        <v>2065000</v>
      </c>
    </row>
    <row r="677" spans="1:9" x14ac:dyDescent="0.25">
      <c r="A677" s="2" t="s">
        <v>99</v>
      </c>
      <c r="B677" s="2" t="s">
        <v>44</v>
      </c>
      <c r="C677" s="2" t="s">
        <v>50</v>
      </c>
      <c r="D677" s="2" t="s">
        <v>105</v>
      </c>
      <c r="E677" s="2">
        <v>687445</v>
      </c>
      <c r="F677" s="2">
        <v>1099912</v>
      </c>
      <c r="G677" s="2">
        <v>824934</v>
      </c>
      <c r="H677" s="2">
        <v>462463</v>
      </c>
      <c r="I677" s="2">
        <v>824934</v>
      </c>
    </row>
    <row r="678" spans="1:9" x14ac:dyDescent="0.25">
      <c r="A678" s="1" t="s">
        <v>99</v>
      </c>
      <c r="B678" s="1" t="s">
        <v>44</v>
      </c>
      <c r="C678" s="1" t="s">
        <v>51</v>
      </c>
      <c r="D678" s="1" t="s">
        <v>105</v>
      </c>
      <c r="E678" s="1">
        <v>592000</v>
      </c>
      <c r="F678" s="1">
        <v>2101600</v>
      </c>
      <c r="G678" s="1">
        <v>296000</v>
      </c>
      <c r="H678" s="1">
        <v>621600</v>
      </c>
      <c r="I678" s="1">
        <v>1302400</v>
      </c>
    </row>
    <row r="679" spans="1:9" x14ac:dyDescent="0.25">
      <c r="A679" s="2" t="s">
        <v>99</v>
      </c>
      <c r="B679" s="2" t="s">
        <v>44</v>
      </c>
      <c r="C679" s="2" t="s">
        <v>52</v>
      </c>
      <c r="D679" s="2" t="s">
        <v>105</v>
      </c>
      <c r="E679" s="2">
        <v>611000</v>
      </c>
      <c r="F679" s="2">
        <v>741000</v>
      </c>
      <c r="G679" s="2">
        <v>559000</v>
      </c>
      <c r="H679" s="2">
        <v>1274000</v>
      </c>
      <c r="I679" s="2">
        <v>663000</v>
      </c>
    </row>
    <row r="680" spans="1:9" x14ac:dyDescent="0.25">
      <c r="A680" s="1" t="s">
        <v>99</v>
      </c>
      <c r="B680" s="1" t="s">
        <v>44</v>
      </c>
      <c r="C680" s="1" t="s">
        <v>53</v>
      </c>
      <c r="D680" s="1" t="s">
        <v>105</v>
      </c>
      <c r="E680" s="1">
        <v>1055040</v>
      </c>
      <c r="F680" s="1">
        <v>552640</v>
      </c>
      <c r="G680" s="1">
        <v>2386400</v>
      </c>
      <c r="H680" s="1">
        <v>1331360</v>
      </c>
      <c r="I680" s="1">
        <v>2084960</v>
      </c>
    </row>
    <row r="681" spans="1:9" x14ac:dyDescent="0.25">
      <c r="A681" s="2" t="s">
        <v>99</v>
      </c>
      <c r="B681" s="2" t="s">
        <v>44</v>
      </c>
      <c r="C681" s="2" t="s">
        <v>54</v>
      </c>
      <c r="D681" s="2" t="s">
        <v>105</v>
      </c>
      <c r="E681" s="2">
        <v>433980</v>
      </c>
      <c r="F681" s="2">
        <v>2083104</v>
      </c>
      <c r="G681" s="2">
        <v>216990</v>
      </c>
      <c r="H681" s="2">
        <v>1106649</v>
      </c>
      <c r="I681" s="2">
        <v>1323639</v>
      </c>
    </row>
    <row r="682" spans="1:9" x14ac:dyDescent="0.25">
      <c r="A682" s="1" t="s">
        <v>99</v>
      </c>
      <c r="B682" s="1" t="s">
        <v>55</v>
      </c>
      <c r="C682" s="1" t="s">
        <v>56</v>
      </c>
      <c r="D682" s="1" t="s">
        <v>105</v>
      </c>
      <c r="E682" s="1">
        <v>373780</v>
      </c>
      <c r="F682" s="1">
        <v>543680</v>
      </c>
      <c r="G682" s="1">
        <v>475720</v>
      </c>
      <c r="H682" s="1">
        <v>747560</v>
      </c>
      <c r="I682" s="1">
        <v>339800</v>
      </c>
    </row>
    <row r="683" spans="1:9" x14ac:dyDescent="0.25">
      <c r="A683" s="2" t="s">
        <v>99</v>
      </c>
      <c r="B683" s="2" t="s">
        <v>55</v>
      </c>
      <c r="C683" s="2" t="s">
        <v>57</v>
      </c>
      <c r="D683" s="2" t="s">
        <v>105</v>
      </c>
      <c r="E683" s="2">
        <v>535449</v>
      </c>
      <c r="F683" s="2">
        <v>671936</v>
      </c>
      <c r="G683" s="2">
        <v>272974</v>
      </c>
      <c r="H683" s="2">
        <v>104990</v>
      </c>
      <c r="I683" s="2">
        <v>587944</v>
      </c>
    </row>
    <row r="684" spans="1:9" x14ac:dyDescent="0.25">
      <c r="A684" s="1" t="s">
        <v>99</v>
      </c>
      <c r="B684" s="1" t="s">
        <v>55</v>
      </c>
      <c r="C684" s="1" t="s">
        <v>58</v>
      </c>
      <c r="D684" s="1" t="s">
        <v>105</v>
      </c>
      <c r="E684" s="1">
        <v>483200</v>
      </c>
      <c r="F684" s="1">
        <v>1117400</v>
      </c>
      <c r="G684" s="1">
        <v>2053600</v>
      </c>
      <c r="H684" s="1">
        <v>845600</v>
      </c>
      <c r="I684" s="1">
        <v>1751600</v>
      </c>
    </row>
    <row r="685" spans="1:9" x14ac:dyDescent="0.25">
      <c r="A685" s="2" t="s">
        <v>99</v>
      </c>
      <c r="B685" s="2" t="s">
        <v>55</v>
      </c>
      <c r="C685" s="2" t="s">
        <v>59</v>
      </c>
      <c r="D685" s="2" t="s">
        <v>105</v>
      </c>
      <c r="E685" s="2">
        <v>109989</v>
      </c>
      <c r="F685" s="2">
        <v>919908</v>
      </c>
      <c r="G685" s="2">
        <v>589941</v>
      </c>
      <c r="H685" s="2">
        <v>529947</v>
      </c>
      <c r="I685" s="2">
        <v>119988</v>
      </c>
    </row>
    <row r="686" spans="1:9" x14ac:dyDescent="0.25">
      <c r="A686" s="1" t="s">
        <v>99</v>
      </c>
      <c r="B686" s="1" t="s">
        <v>55</v>
      </c>
      <c r="C686" s="1" t="s">
        <v>60</v>
      </c>
      <c r="D686" s="1" t="s">
        <v>105</v>
      </c>
      <c r="E686" s="1">
        <v>518346</v>
      </c>
      <c r="F686" s="1">
        <v>825514</v>
      </c>
      <c r="G686" s="1">
        <v>316767</v>
      </c>
      <c r="H686" s="1">
        <v>556742</v>
      </c>
      <c r="I686" s="1">
        <v>892707</v>
      </c>
    </row>
    <row r="687" spans="1:9" x14ac:dyDescent="0.25">
      <c r="A687" s="2" t="s">
        <v>99</v>
      </c>
      <c r="B687" s="2" t="s">
        <v>55</v>
      </c>
      <c r="C687" s="2" t="s">
        <v>61</v>
      </c>
      <c r="D687" s="2" t="s">
        <v>105</v>
      </c>
      <c r="E687" s="2">
        <v>303984</v>
      </c>
      <c r="F687" s="2">
        <v>854955</v>
      </c>
      <c r="G687" s="2">
        <v>493974</v>
      </c>
      <c r="H687" s="2">
        <v>721962</v>
      </c>
      <c r="I687" s="2">
        <v>284985</v>
      </c>
    </row>
    <row r="688" spans="1:9" x14ac:dyDescent="0.25">
      <c r="A688" s="1" t="s">
        <v>99</v>
      </c>
      <c r="B688" s="1" t="s">
        <v>55</v>
      </c>
      <c r="C688" s="1" t="s">
        <v>62</v>
      </c>
      <c r="D688" s="1" t="s">
        <v>105</v>
      </c>
      <c r="E688" s="1">
        <v>1699915</v>
      </c>
      <c r="F688" s="1">
        <v>1199940</v>
      </c>
      <c r="G688" s="1">
        <v>879956</v>
      </c>
      <c r="H688" s="1">
        <v>879956</v>
      </c>
      <c r="I688" s="1">
        <v>1699915</v>
      </c>
    </row>
    <row r="689" spans="1:9" x14ac:dyDescent="0.25">
      <c r="A689" s="2" t="s">
        <v>99</v>
      </c>
      <c r="B689" s="2" t="s">
        <v>55</v>
      </c>
      <c r="C689" s="2" t="s">
        <v>63</v>
      </c>
      <c r="D689" s="2" t="s">
        <v>105</v>
      </c>
      <c r="E689" s="2">
        <v>619740</v>
      </c>
      <c r="F689" s="2">
        <v>826320</v>
      </c>
      <c r="G689" s="2">
        <v>291090</v>
      </c>
      <c r="H689" s="2">
        <v>338040</v>
      </c>
      <c r="I689" s="2">
        <v>638520</v>
      </c>
    </row>
    <row r="690" spans="1:9" x14ac:dyDescent="0.25">
      <c r="A690" s="1" t="s">
        <v>99</v>
      </c>
      <c r="B690" s="1" t="s">
        <v>55</v>
      </c>
      <c r="C690" s="1" t="s">
        <v>64</v>
      </c>
      <c r="D690" s="1" t="s">
        <v>105</v>
      </c>
      <c r="E690" s="1">
        <v>693000</v>
      </c>
      <c r="F690" s="1">
        <v>924000</v>
      </c>
      <c r="G690" s="1">
        <v>1260000</v>
      </c>
      <c r="H690" s="1">
        <v>2016000</v>
      </c>
      <c r="I690" s="1">
        <v>1554000</v>
      </c>
    </row>
    <row r="691" spans="1:9" x14ac:dyDescent="0.25">
      <c r="A691" s="2" t="s">
        <v>99</v>
      </c>
      <c r="B691" s="2" t="s">
        <v>55</v>
      </c>
      <c r="C691" s="2" t="s">
        <v>65</v>
      </c>
      <c r="D691" s="2" t="s">
        <v>105</v>
      </c>
      <c r="E691" s="2">
        <v>825000</v>
      </c>
      <c r="F691" s="2">
        <v>800000</v>
      </c>
      <c r="G691" s="2">
        <v>250000</v>
      </c>
      <c r="H691" s="2">
        <v>350000</v>
      </c>
      <c r="I691" s="2">
        <v>1400000</v>
      </c>
    </row>
    <row r="692" spans="1:9" x14ac:dyDescent="0.25">
      <c r="A692" s="1" t="s">
        <v>99</v>
      </c>
      <c r="B692" s="1" t="s">
        <v>66</v>
      </c>
      <c r="C692" s="1" t="s">
        <v>67</v>
      </c>
      <c r="D692" s="1" t="s">
        <v>105</v>
      </c>
      <c r="E692" s="1">
        <v>2431924</v>
      </c>
      <c r="F692" s="1">
        <v>3071904</v>
      </c>
      <c r="G692" s="1">
        <v>1215962</v>
      </c>
      <c r="H692" s="1">
        <v>2303928</v>
      </c>
      <c r="I692" s="1">
        <v>2975907</v>
      </c>
    </row>
    <row r="693" spans="1:9" x14ac:dyDescent="0.25">
      <c r="A693" s="2" t="s">
        <v>99</v>
      </c>
      <c r="B693" s="2" t="s">
        <v>66</v>
      </c>
      <c r="C693" s="2" t="s">
        <v>68</v>
      </c>
      <c r="D693" s="2" t="s">
        <v>105</v>
      </c>
      <c r="E693" s="2">
        <v>1613962</v>
      </c>
      <c r="F693" s="2">
        <v>691698</v>
      </c>
      <c r="G693" s="2">
        <v>1317520</v>
      </c>
      <c r="H693" s="2">
        <v>675229</v>
      </c>
      <c r="I693" s="2">
        <v>625822</v>
      </c>
    </row>
    <row r="694" spans="1:9" x14ac:dyDescent="0.25">
      <c r="A694" s="1" t="s">
        <v>99</v>
      </c>
      <c r="B694" s="1" t="s">
        <v>66</v>
      </c>
      <c r="C694" s="1" t="s">
        <v>69</v>
      </c>
      <c r="D694" s="1" t="s">
        <v>105</v>
      </c>
      <c r="E694" s="1">
        <v>918606</v>
      </c>
      <c r="F694" s="1">
        <v>412195</v>
      </c>
      <c r="G694" s="1">
        <v>200209</v>
      </c>
      <c r="H694" s="1">
        <v>1118815</v>
      </c>
      <c r="I694" s="1">
        <v>812613</v>
      </c>
    </row>
    <row r="695" spans="1:9" x14ac:dyDescent="0.25">
      <c r="A695" s="2" t="s">
        <v>99</v>
      </c>
      <c r="B695" s="2" t="s">
        <v>66</v>
      </c>
      <c r="C695" s="2" t="s">
        <v>70</v>
      </c>
      <c r="D695" s="2" t="s">
        <v>105</v>
      </c>
      <c r="E695" s="2">
        <v>254352</v>
      </c>
      <c r="F695" s="2">
        <v>58289</v>
      </c>
      <c r="G695" s="2">
        <v>280847</v>
      </c>
      <c r="H695" s="2">
        <v>482209</v>
      </c>
      <c r="I695" s="2">
        <v>524601</v>
      </c>
    </row>
    <row r="696" spans="1:9" x14ac:dyDescent="0.25">
      <c r="A696" s="1" t="s">
        <v>99</v>
      </c>
      <c r="B696" s="1" t="s">
        <v>66</v>
      </c>
      <c r="C696" s="1" t="s">
        <v>71</v>
      </c>
      <c r="D696" s="1" t="s">
        <v>105</v>
      </c>
      <c r="E696" s="1">
        <v>311500</v>
      </c>
      <c r="F696" s="1">
        <v>258100</v>
      </c>
      <c r="G696" s="1">
        <v>747600</v>
      </c>
      <c r="H696" s="1">
        <v>498400</v>
      </c>
      <c r="I696" s="1">
        <v>356000</v>
      </c>
    </row>
    <row r="697" spans="1:9" x14ac:dyDescent="0.25">
      <c r="A697" s="2" t="s">
        <v>99</v>
      </c>
      <c r="B697" s="2" t="s">
        <v>66</v>
      </c>
      <c r="C697" s="2" t="s">
        <v>72</v>
      </c>
      <c r="D697" s="2" t="s">
        <v>105</v>
      </c>
      <c r="E697" s="2">
        <v>580424</v>
      </c>
      <c r="F697" s="2">
        <v>1518032</v>
      </c>
      <c r="G697" s="2">
        <v>558100</v>
      </c>
      <c r="H697" s="2">
        <v>1138524</v>
      </c>
      <c r="I697" s="2">
        <v>357184</v>
      </c>
    </row>
    <row r="698" spans="1:9" x14ac:dyDescent="0.25">
      <c r="A698" s="1" t="s">
        <v>99</v>
      </c>
      <c r="B698" s="1" t="s">
        <v>66</v>
      </c>
      <c r="C698" s="1" t="s">
        <v>73</v>
      </c>
      <c r="D698" s="1" t="s">
        <v>105</v>
      </c>
      <c r="E698" s="1">
        <v>2287120</v>
      </c>
      <c r="F698" s="1">
        <v>1247520</v>
      </c>
      <c r="G698" s="1">
        <v>2417070</v>
      </c>
      <c r="H698" s="1">
        <v>467820</v>
      </c>
      <c r="I698" s="1">
        <v>1351480</v>
      </c>
    </row>
    <row r="699" spans="1:9" x14ac:dyDescent="0.25">
      <c r="A699" s="2" t="s">
        <v>99</v>
      </c>
      <c r="B699" s="2" t="s">
        <v>66</v>
      </c>
      <c r="C699" s="2" t="s">
        <v>74</v>
      </c>
      <c r="D699" s="2" t="s">
        <v>105</v>
      </c>
      <c r="E699" s="2">
        <v>780000</v>
      </c>
      <c r="F699" s="2">
        <v>1880000</v>
      </c>
      <c r="G699" s="2">
        <v>760000</v>
      </c>
      <c r="H699" s="2">
        <v>340000</v>
      </c>
      <c r="I699" s="2">
        <v>1100000</v>
      </c>
    </row>
    <row r="700" spans="1:9" x14ac:dyDescent="0.25">
      <c r="A700" s="1" t="s">
        <v>99</v>
      </c>
      <c r="B700" s="1" t="s">
        <v>66</v>
      </c>
      <c r="C700" s="1" t="s">
        <v>75</v>
      </c>
      <c r="D700" s="1" t="s">
        <v>105</v>
      </c>
      <c r="E700" s="1">
        <v>1659000</v>
      </c>
      <c r="F700" s="1">
        <v>924000</v>
      </c>
      <c r="G700" s="1">
        <v>924000</v>
      </c>
      <c r="H700" s="1">
        <v>462000</v>
      </c>
      <c r="I700" s="1">
        <v>546000</v>
      </c>
    </row>
    <row r="701" spans="1:9" x14ac:dyDescent="0.25">
      <c r="A701" s="2" t="s">
        <v>99</v>
      </c>
      <c r="B701" s="2" t="s">
        <v>66</v>
      </c>
      <c r="C701" s="2" t="s">
        <v>76</v>
      </c>
      <c r="D701" s="2" t="s">
        <v>105</v>
      </c>
      <c r="E701" s="2">
        <v>2112000</v>
      </c>
      <c r="F701" s="2">
        <v>1606000</v>
      </c>
      <c r="G701" s="2">
        <v>1980000</v>
      </c>
      <c r="H701" s="2">
        <v>990000</v>
      </c>
      <c r="I701" s="2">
        <v>1320000</v>
      </c>
    </row>
    <row r="702" spans="1:9" x14ac:dyDescent="0.25">
      <c r="A702" s="1" t="s">
        <v>99</v>
      </c>
      <c r="B702" s="1" t="s">
        <v>77</v>
      </c>
      <c r="C702" s="1" t="s">
        <v>78</v>
      </c>
      <c r="D702" s="1" t="s">
        <v>105</v>
      </c>
      <c r="E702" s="1">
        <v>1639900</v>
      </c>
      <c r="F702" s="1">
        <v>2406950</v>
      </c>
      <c r="G702" s="1">
        <v>1216700</v>
      </c>
      <c r="H702" s="1">
        <v>2089550</v>
      </c>
      <c r="I702" s="1">
        <v>2168900</v>
      </c>
    </row>
    <row r="703" spans="1:9" x14ac:dyDescent="0.25">
      <c r="A703" s="2" t="s">
        <v>99</v>
      </c>
      <c r="B703" s="2" t="s">
        <v>77</v>
      </c>
      <c r="C703" s="2" t="s">
        <v>79</v>
      </c>
      <c r="D703" s="2" t="s">
        <v>105</v>
      </c>
      <c r="E703" s="2">
        <v>1608594</v>
      </c>
      <c r="F703" s="2">
        <v>725829</v>
      </c>
      <c r="G703" s="2">
        <v>1177020</v>
      </c>
      <c r="H703" s="2">
        <v>1765530</v>
      </c>
      <c r="I703" s="2">
        <v>1432041</v>
      </c>
    </row>
    <row r="704" spans="1:9" x14ac:dyDescent="0.25">
      <c r="A704" s="1" t="s">
        <v>99</v>
      </c>
      <c r="B704" s="1" t="s">
        <v>77</v>
      </c>
      <c r="C704" s="1" t="s">
        <v>80</v>
      </c>
      <c r="D704" s="1" t="s">
        <v>105</v>
      </c>
      <c r="E704" s="1">
        <v>1204980</v>
      </c>
      <c r="F704" s="1">
        <v>602490</v>
      </c>
      <c r="G704" s="1">
        <v>2610790</v>
      </c>
      <c r="H704" s="1">
        <v>1061530</v>
      </c>
      <c r="I704" s="1">
        <v>860700</v>
      </c>
    </row>
    <row r="705" spans="1:9" x14ac:dyDescent="0.25">
      <c r="A705" s="2" t="s">
        <v>99</v>
      </c>
      <c r="B705" s="2" t="s">
        <v>77</v>
      </c>
      <c r="C705" s="2" t="s">
        <v>81</v>
      </c>
      <c r="D705" s="2" t="s">
        <v>105</v>
      </c>
      <c r="E705" s="2">
        <v>1595160</v>
      </c>
      <c r="F705" s="2">
        <v>1044450</v>
      </c>
      <c r="G705" s="2">
        <v>1329300</v>
      </c>
      <c r="H705" s="2">
        <v>1633140</v>
      </c>
      <c r="I705" s="2">
        <v>1082430</v>
      </c>
    </row>
    <row r="706" spans="1:9" x14ac:dyDescent="0.25">
      <c r="A706" s="1" t="s">
        <v>99</v>
      </c>
      <c r="B706" s="1" t="s">
        <v>77</v>
      </c>
      <c r="C706" s="1" t="s">
        <v>82</v>
      </c>
      <c r="D706" s="1" t="s">
        <v>105</v>
      </c>
      <c r="E706" s="1">
        <v>1061140</v>
      </c>
      <c r="F706" s="1">
        <v>2122280</v>
      </c>
      <c r="G706" s="1">
        <v>1997440</v>
      </c>
      <c r="H706" s="1">
        <v>2371960</v>
      </c>
      <c r="I706" s="1">
        <v>717830</v>
      </c>
    </row>
    <row r="707" spans="1:9" x14ac:dyDescent="0.25">
      <c r="A707" s="2" t="s">
        <v>99</v>
      </c>
      <c r="B707" s="2" t="s">
        <v>77</v>
      </c>
      <c r="C707" s="2" t="s">
        <v>83</v>
      </c>
      <c r="D707" s="2" t="s">
        <v>105</v>
      </c>
      <c r="E707" s="2">
        <v>967440</v>
      </c>
      <c r="F707" s="2">
        <v>1934880</v>
      </c>
      <c r="G707" s="2">
        <v>2902320</v>
      </c>
      <c r="H707" s="2">
        <v>500400</v>
      </c>
      <c r="I707" s="2">
        <v>967440</v>
      </c>
    </row>
    <row r="708" spans="1:9" x14ac:dyDescent="0.25">
      <c r="A708" s="1" t="s">
        <v>99</v>
      </c>
      <c r="B708" s="1" t="s">
        <v>77</v>
      </c>
      <c r="C708" s="1" t="s">
        <v>84</v>
      </c>
      <c r="D708" s="1" t="s">
        <v>105</v>
      </c>
      <c r="E708" s="1">
        <v>619969</v>
      </c>
      <c r="F708" s="1">
        <v>859957</v>
      </c>
      <c r="G708" s="1">
        <v>1159942</v>
      </c>
      <c r="H708" s="1">
        <v>199990</v>
      </c>
      <c r="I708" s="1">
        <v>579971</v>
      </c>
    </row>
    <row r="709" spans="1:9" x14ac:dyDescent="0.25">
      <c r="A709" s="2" t="s">
        <v>99</v>
      </c>
      <c r="B709" s="2" t="s">
        <v>77</v>
      </c>
      <c r="C709" s="2" t="s">
        <v>85</v>
      </c>
      <c r="D709" s="2" t="s">
        <v>105</v>
      </c>
      <c r="E709" s="2">
        <v>1659100</v>
      </c>
      <c r="F709" s="2">
        <v>1394350</v>
      </c>
      <c r="G709" s="2">
        <v>1359050</v>
      </c>
      <c r="H709" s="2">
        <v>617750</v>
      </c>
      <c r="I709" s="2">
        <v>653050</v>
      </c>
    </row>
    <row r="710" spans="1:9" x14ac:dyDescent="0.25">
      <c r="A710" s="1" t="s">
        <v>99</v>
      </c>
      <c r="B710" s="1" t="s">
        <v>77</v>
      </c>
      <c r="C710" s="1" t="s">
        <v>86</v>
      </c>
      <c r="D710" s="1" t="s">
        <v>105</v>
      </c>
      <c r="E710" s="1">
        <v>638400</v>
      </c>
      <c r="F710" s="1">
        <v>1246400</v>
      </c>
      <c r="G710" s="1">
        <v>1155200</v>
      </c>
      <c r="H710" s="1">
        <v>668800</v>
      </c>
      <c r="I710" s="1">
        <v>152000</v>
      </c>
    </row>
    <row r="711" spans="1:9" x14ac:dyDescent="0.25">
      <c r="A711" s="2" t="s">
        <v>99</v>
      </c>
      <c r="B711" s="2" t="s">
        <v>77</v>
      </c>
      <c r="C711" s="2" t="s">
        <v>87</v>
      </c>
      <c r="D711" s="2" t="s">
        <v>105</v>
      </c>
      <c r="E711" s="2">
        <v>504900</v>
      </c>
      <c r="F711" s="2">
        <v>1468800</v>
      </c>
      <c r="G711" s="2">
        <v>1836000</v>
      </c>
      <c r="H711" s="2">
        <v>504900</v>
      </c>
      <c r="I711" s="2">
        <v>2272050</v>
      </c>
    </row>
    <row r="712" spans="1:9" x14ac:dyDescent="0.25">
      <c r="A712" s="1" t="s">
        <v>99</v>
      </c>
      <c r="B712" s="1" t="s">
        <v>88</v>
      </c>
      <c r="C712" s="1" t="s">
        <v>89</v>
      </c>
      <c r="D712" s="1" t="s">
        <v>105</v>
      </c>
      <c r="E712" s="1">
        <v>1782500</v>
      </c>
      <c r="F712" s="1">
        <v>5347500</v>
      </c>
      <c r="G712" s="1">
        <v>5232500</v>
      </c>
      <c r="H712" s="1">
        <v>2702500</v>
      </c>
      <c r="I712" s="1">
        <v>2530000</v>
      </c>
    </row>
    <row r="713" spans="1:9" x14ac:dyDescent="0.25">
      <c r="A713" s="2" t="s">
        <v>99</v>
      </c>
      <c r="B713" s="2" t="s">
        <v>88</v>
      </c>
      <c r="C713" s="2" t="s">
        <v>90</v>
      </c>
      <c r="D713" s="2" t="s">
        <v>105</v>
      </c>
      <c r="E713" s="2">
        <v>2137800</v>
      </c>
      <c r="F713" s="2">
        <v>1221600</v>
      </c>
      <c r="G713" s="2">
        <v>4173800</v>
      </c>
      <c r="H713" s="2">
        <v>2850400</v>
      </c>
      <c r="I713" s="2">
        <v>1832400</v>
      </c>
    </row>
    <row r="714" spans="1:9" x14ac:dyDescent="0.25">
      <c r="A714" s="1" t="s">
        <v>99</v>
      </c>
      <c r="B714" s="1" t="s">
        <v>88</v>
      </c>
      <c r="C714" s="1" t="s">
        <v>91</v>
      </c>
      <c r="D714" s="1" t="s">
        <v>105</v>
      </c>
      <c r="E714" s="1">
        <v>1824500</v>
      </c>
      <c r="F714" s="1">
        <v>712000</v>
      </c>
      <c r="G714" s="1">
        <v>1780000</v>
      </c>
      <c r="H714" s="1">
        <v>3916000</v>
      </c>
      <c r="I714" s="1">
        <v>4227500</v>
      </c>
    </row>
    <row r="715" spans="1:9" x14ac:dyDescent="0.25">
      <c r="A715" s="2" t="s">
        <v>99</v>
      </c>
      <c r="B715" s="2" t="s">
        <v>88</v>
      </c>
      <c r="C715" s="2" t="s">
        <v>92</v>
      </c>
      <c r="D715" s="2" t="s">
        <v>105</v>
      </c>
      <c r="E715" s="2">
        <v>1705500</v>
      </c>
      <c r="F715" s="2">
        <v>3069900</v>
      </c>
      <c r="G715" s="2">
        <v>2198200</v>
      </c>
      <c r="H715" s="2">
        <v>985400</v>
      </c>
      <c r="I715" s="2">
        <v>3676300</v>
      </c>
    </row>
    <row r="716" spans="1:9" x14ac:dyDescent="0.25">
      <c r="A716" s="1" t="s">
        <v>99</v>
      </c>
      <c r="B716" s="1" t="s">
        <v>88</v>
      </c>
      <c r="C716" s="1" t="s">
        <v>93</v>
      </c>
      <c r="D716" s="1" t="s">
        <v>105</v>
      </c>
      <c r="E716" s="1">
        <v>1888000</v>
      </c>
      <c r="F716" s="1">
        <v>2684500</v>
      </c>
      <c r="G716" s="1">
        <v>1032500</v>
      </c>
      <c r="H716" s="1">
        <v>1711000</v>
      </c>
      <c r="I716" s="1">
        <v>413000</v>
      </c>
    </row>
    <row r="717" spans="1:9" x14ac:dyDescent="0.25">
      <c r="A717" s="2" t="s">
        <v>99</v>
      </c>
      <c r="B717" s="2" t="s">
        <v>88</v>
      </c>
      <c r="C717" s="2" t="s">
        <v>94</v>
      </c>
      <c r="D717" s="2" t="s">
        <v>105</v>
      </c>
      <c r="E717" s="2">
        <v>3243000</v>
      </c>
      <c r="F717" s="2">
        <v>2104500</v>
      </c>
      <c r="G717" s="2">
        <v>1690500</v>
      </c>
      <c r="H717" s="2">
        <v>1000500</v>
      </c>
      <c r="I717" s="2">
        <v>3415500</v>
      </c>
    </row>
    <row r="718" spans="1:9" x14ac:dyDescent="0.25">
      <c r="A718" s="1" t="s">
        <v>99</v>
      </c>
      <c r="B718" s="1" t="s">
        <v>88</v>
      </c>
      <c r="C718" s="1" t="s">
        <v>95</v>
      </c>
      <c r="D718" s="1" t="s">
        <v>105</v>
      </c>
      <c r="E718" s="1">
        <v>829500</v>
      </c>
      <c r="F718" s="1">
        <v>2607000</v>
      </c>
      <c r="G718" s="1">
        <v>3515500</v>
      </c>
      <c r="H718" s="1">
        <v>3871000</v>
      </c>
      <c r="I718" s="1">
        <v>2488500</v>
      </c>
    </row>
    <row r="719" spans="1:9" x14ac:dyDescent="0.25">
      <c r="A719" s="2" t="s">
        <v>99</v>
      </c>
      <c r="B719" s="2" t="s">
        <v>88</v>
      </c>
      <c r="C719" s="2" t="s">
        <v>96</v>
      </c>
      <c r="D719" s="2" t="s">
        <v>105</v>
      </c>
      <c r="E719" s="2">
        <v>885600</v>
      </c>
      <c r="F719" s="2">
        <v>996300</v>
      </c>
      <c r="G719" s="2">
        <v>811800</v>
      </c>
      <c r="H719" s="2">
        <v>885600</v>
      </c>
      <c r="I719" s="2">
        <v>2730600</v>
      </c>
    </row>
    <row r="720" spans="1:9" x14ac:dyDescent="0.25">
      <c r="A720" s="1" t="s">
        <v>99</v>
      </c>
      <c r="B720" s="1" t="s">
        <v>88</v>
      </c>
      <c r="C720" s="1" t="s">
        <v>97</v>
      </c>
      <c r="D720" s="1" t="s">
        <v>105</v>
      </c>
      <c r="E720" s="1">
        <v>1508400</v>
      </c>
      <c r="F720" s="1">
        <v>2346400</v>
      </c>
      <c r="G720" s="1">
        <v>3938600</v>
      </c>
      <c r="H720" s="1">
        <v>3100600</v>
      </c>
      <c r="I720" s="1">
        <v>879900</v>
      </c>
    </row>
    <row r="721" spans="1:9" x14ac:dyDescent="0.25">
      <c r="A721" s="2" t="s">
        <v>99</v>
      </c>
      <c r="B721" s="2" t="s">
        <v>88</v>
      </c>
      <c r="C721" s="2" t="s">
        <v>98</v>
      </c>
      <c r="D721" s="2" t="s">
        <v>105</v>
      </c>
      <c r="E721" s="2">
        <v>656600</v>
      </c>
      <c r="F721" s="2">
        <v>750400</v>
      </c>
      <c r="G721" s="2">
        <v>1735300</v>
      </c>
      <c r="H721" s="2">
        <v>3798900</v>
      </c>
      <c r="I721" s="2">
        <v>4314800</v>
      </c>
    </row>
    <row r="722" spans="1:9" x14ac:dyDescent="0.25">
      <c r="A722" s="1" t="s">
        <v>100</v>
      </c>
      <c r="B722" s="1" t="s">
        <v>10</v>
      </c>
      <c r="C722" s="1" t="s">
        <v>11</v>
      </c>
      <c r="D722" s="1" t="s">
        <v>105</v>
      </c>
      <c r="E722" s="1">
        <v>389987</v>
      </c>
      <c r="F722" s="1">
        <v>1499950</v>
      </c>
      <c r="G722" s="1">
        <v>1349955</v>
      </c>
      <c r="H722" s="1">
        <v>1679944</v>
      </c>
      <c r="I722" s="1">
        <v>2609913</v>
      </c>
    </row>
    <row r="723" spans="1:9" x14ac:dyDescent="0.25">
      <c r="A723" s="2" t="s">
        <v>100</v>
      </c>
      <c r="B723" s="2" t="s">
        <v>10</v>
      </c>
      <c r="C723" s="2" t="s">
        <v>13</v>
      </c>
      <c r="D723" s="2" t="s">
        <v>105</v>
      </c>
      <c r="E723" s="2">
        <v>1554201</v>
      </c>
      <c r="F723" s="2">
        <v>204087</v>
      </c>
      <c r="G723" s="2">
        <v>753552</v>
      </c>
      <c r="H723" s="2">
        <v>329679</v>
      </c>
      <c r="I723" s="2">
        <v>1098930</v>
      </c>
    </row>
    <row r="724" spans="1:9" x14ac:dyDescent="0.25">
      <c r="A724" s="1" t="s">
        <v>100</v>
      </c>
      <c r="B724" s="1" t="s">
        <v>10</v>
      </c>
      <c r="C724" s="1" t="s">
        <v>14</v>
      </c>
      <c r="D724" s="1" t="s">
        <v>105</v>
      </c>
      <c r="E724" s="1">
        <v>1055580</v>
      </c>
      <c r="F724" s="1">
        <v>1229100</v>
      </c>
      <c r="G724" s="1">
        <v>1113420</v>
      </c>
      <c r="H724" s="1">
        <v>1200180</v>
      </c>
      <c r="I724" s="1">
        <v>1156800</v>
      </c>
    </row>
    <row r="725" spans="1:9" x14ac:dyDescent="0.25">
      <c r="A725" s="2" t="s">
        <v>100</v>
      </c>
      <c r="B725" s="2" t="s">
        <v>10</v>
      </c>
      <c r="C725" s="2" t="s">
        <v>15</v>
      </c>
      <c r="D725" s="2" t="s">
        <v>105</v>
      </c>
      <c r="E725" s="2">
        <v>951944</v>
      </c>
      <c r="F725" s="2">
        <v>1291924</v>
      </c>
      <c r="G725" s="2">
        <v>458973</v>
      </c>
      <c r="H725" s="2">
        <v>1121934</v>
      </c>
      <c r="I725" s="2">
        <v>339980</v>
      </c>
    </row>
    <row r="726" spans="1:9" x14ac:dyDescent="0.25">
      <c r="A726" s="1" t="s">
        <v>100</v>
      </c>
      <c r="B726" s="1" t="s">
        <v>10</v>
      </c>
      <c r="C726" s="1" t="s">
        <v>16</v>
      </c>
      <c r="D726" s="1" t="s">
        <v>105</v>
      </c>
      <c r="E726" s="1">
        <v>657225</v>
      </c>
      <c r="F726" s="1">
        <v>323850</v>
      </c>
      <c r="G726" s="1">
        <v>104775</v>
      </c>
      <c r="H726" s="1">
        <v>457200</v>
      </c>
      <c r="I726" s="1">
        <v>266700</v>
      </c>
    </row>
    <row r="727" spans="1:9" x14ac:dyDescent="0.25">
      <c r="A727" s="2" t="s">
        <v>100</v>
      </c>
      <c r="B727" s="2" t="s">
        <v>10</v>
      </c>
      <c r="C727" s="2" t="s">
        <v>17</v>
      </c>
      <c r="D727" s="2" t="s">
        <v>105</v>
      </c>
      <c r="E727" s="2">
        <v>359100</v>
      </c>
      <c r="F727" s="2">
        <v>513000</v>
      </c>
      <c r="G727" s="2">
        <v>1504800</v>
      </c>
      <c r="H727" s="2">
        <v>1299600</v>
      </c>
      <c r="I727" s="2">
        <v>273600</v>
      </c>
    </row>
    <row r="728" spans="1:9" x14ac:dyDescent="0.25">
      <c r="A728" s="1" t="s">
        <v>100</v>
      </c>
      <c r="B728" s="1" t="s">
        <v>10</v>
      </c>
      <c r="C728" s="1" t="s">
        <v>18</v>
      </c>
      <c r="D728" s="1" t="s">
        <v>105</v>
      </c>
      <c r="E728" s="1">
        <v>857560</v>
      </c>
      <c r="F728" s="1">
        <v>916030</v>
      </c>
      <c r="G728" s="1">
        <v>214390</v>
      </c>
      <c r="H728" s="1">
        <v>194900</v>
      </c>
      <c r="I728" s="1">
        <v>1247360</v>
      </c>
    </row>
    <row r="729" spans="1:9" x14ac:dyDescent="0.25">
      <c r="A729" s="2" t="s">
        <v>100</v>
      </c>
      <c r="B729" s="2" t="s">
        <v>10</v>
      </c>
      <c r="C729" s="2" t="s">
        <v>19</v>
      </c>
      <c r="D729" s="2" t="s">
        <v>105</v>
      </c>
      <c r="E729" s="2">
        <v>241900</v>
      </c>
      <c r="F729" s="2">
        <v>725700</v>
      </c>
      <c r="G729" s="2">
        <v>1088550</v>
      </c>
      <c r="H729" s="2">
        <v>2419000</v>
      </c>
      <c r="I729" s="2">
        <v>1983580</v>
      </c>
    </row>
    <row r="730" spans="1:9" x14ac:dyDescent="0.25">
      <c r="A730" s="1" t="s">
        <v>100</v>
      </c>
      <c r="B730" s="1" t="s">
        <v>10</v>
      </c>
      <c r="C730" s="1" t="s">
        <v>20</v>
      </c>
      <c r="D730" s="1" t="s">
        <v>105</v>
      </c>
      <c r="E730" s="1">
        <v>327590</v>
      </c>
      <c r="F730" s="1">
        <v>671160</v>
      </c>
      <c r="G730" s="1">
        <v>647190</v>
      </c>
      <c r="H730" s="1">
        <v>511360</v>
      </c>
      <c r="I730" s="1">
        <v>623220</v>
      </c>
    </row>
    <row r="731" spans="1:9" x14ac:dyDescent="0.25">
      <c r="A731" s="2" t="s">
        <v>100</v>
      </c>
      <c r="B731" s="2" t="s">
        <v>10</v>
      </c>
      <c r="C731" s="2" t="s">
        <v>21</v>
      </c>
      <c r="D731" s="2" t="s">
        <v>105</v>
      </c>
      <c r="E731" s="2">
        <v>445410</v>
      </c>
      <c r="F731" s="2">
        <v>627210</v>
      </c>
      <c r="G731" s="2">
        <v>672660</v>
      </c>
      <c r="H731" s="2">
        <v>199980</v>
      </c>
      <c r="I731" s="2">
        <v>572670</v>
      </c>
    </row>
    <row r="732" spans="1:9" x14ac:dyDescent="0.25">
      <c r="A732" s="1" t="s">
        <v>100</v>
      </c>
      <c r="B732" s="1" t="s">
        <v>22</v>
      </c>
      <c r="C732" s="1" t="s">
        <v>23</v>
      </c>
      <c r="D732" s="1" t="s">
        <v>105</v>
      </c>
      <c r="E732" s="1">
        <v>300883</v>
      </c>
      <c r="F732" s="1">
        <v>796455</v>
      </c>
      <c r="G732" s="1">
        <v>1469017</v>
      </c>
      <c r="H732" s="1">
        <v>1061940</v>
      </c>
      <c r="I732" s="1">
        <v>230087</v>
      </c>
    </row>
    <row r="733" spans="1:9" x14ac:dyDescent="0.25">
      <c r="A733" s="2" t="s">
        <v>100</v>
      </c>
      <c r="B733" s="2" t="s">
        <v>22</v>
      </c>
      <c r="C733" s="2" t="s">
        <v>24</v>
      </c>
      <c r="D733" s="2" t="s">
        <v>105</v>
      </c>
      <c r="E733" s="2">
        <v>2517405</v>
      </c>
      <c r="F733" s="2">
        <v>2543904</v>
      </c>
      <c r="G733" s="2">
        <v>1828431</v>
      </c>
      <c r="H733" s="2">
        <v>1695936</v>
      </c>
      <c r="I733" s="2">
        <v>2437908</v>
      </c>
    </row>
    <row r="734" spans="1:9" x14ac:dyDescent="0.25">
      <c r="A734" s="1" t="s">
        <v>100</v>
      </c>
      <c r="B734" s="1" t="s">
        <v>22</v>
      </c>
      <c r="C734" s="1" t="s">
        <v>25</v>
      </c>
      <c r="D734" s="1" t="s">
        <v>105</v>
      </c>
      <c r="E734" s="1">
        <v>1517240</v>
      </c>
      <c r="F734" s="1">
        <v>987120</v>
      </c>
      <c r="G734" s="1">
        <v>621520</v>
      </c>
      <c r="H734" s="1">
        <v>1718320</v>
      </c>
      <c r="I734" s="1">
        <v>968840</v>
      </c>
    </row>
    <row r="735" spans="1:9" x14ac:dyDescent="0.25">
      <c r="A735" s="2" t="s">
        <v>100</v>
      </c>
      <c r="B735" s="2" t="s">
        <v>22</v>
      </c>
      <c r="C735" s="2" t="s">
        <v>26</v>
      </c>
      <c r="D735" s="2" t="s">
        <v>105</v>
      </c>
      <c r="E735" s="2">
        <v>228480</v>
      </c>
      <c r="F735" s="2">
        <v>364140</v>
      </c>
      <c r="G735" s="2">
        <v>357000</v>
      </c>
      <c r="H735" s="2">
        <v>178500</v>
      </c>
      <c r="I735" s="2">
        <v>257040</v>
      </c>
    </row>
    <row r="736" spans="1:9" x14ac:dyDescent="0.25">
      <c r="A736" s="1" t="s">
        <v>100</v>
      </c>
      <c r="B736" s="1" t="s">
        <v>22</v>
      </c>
      <c r="C736" s="1" t="s">
        <v>27</v>
      </c>
      <c r="D736" s="1" t="s">
        <v>105</v>
      </c>
      <c r="E736" s="1">
        <v>2323590</v>
      </c>
      <c r="F736" s="1">
        <v>2355420</v>
      </c>
      <c r="G736" s="1">
        <v>2673720</v>
      </c>
      <c r="H736" s="1">
        <v>2291760</v>
      </c>
      <c r="I736" s="1">
        <v>827580</v>
      </c>
    </row>
    <row r="737" spans="1:9" x14ac:dyDescent="0.25">
      <c r="A737" s="2" t="s">
        <v>100</v>
      </c>
      <c r="B737" s="2" t="s">
        <v>22</v>
      </c>
      <c r="C737" s="2" t="s">
        <v>28</v>
      </c>
      <c r="D737" s="2" t="s">
        <v>105</v>
      </c>
      <c r="E737" s="2">
        <v>3008400</v>
      </c>
      <c r="F737" s="2">
        <v>2060100</v>
      </c>
      <c r="G737" s="2">
        <v>2517900</v>
      </c>
      <c r="H737" s="2">
        <v>981000</v>
      </c>
      <c r="I737" s="2">
        <v>1013700</v>
      </c>
    </row>
    <row r="738" spans="1:9" x14ac:dyDescent="0.25">
      <c r="A738" s="1" t="s">
        <v>100</v>
      </c>
      <c r="B738" s="1" t="s">
        <v>22</v>
      </c>
      <c r="C738" s="1" t="s">
        <v>29</v>
      </c>
      <c r="D738" s="1" t="s">
        <v>105</v>
      </c>
      <c r="E738" s="1">
        <v>314250</v>
      </c>
      <c r="F738" s="1">
        <v>1529350</v>
      </c>
      <c r="G738" s="1">
        <v>858950</v>
      </c>
      <c r="H738" s="1">
        <v>1047500</v>
      </c>
      <c r="I738" s="1">
        <v>523750</v>
      </c>
    </row>
    <row r="739" spans="1:9" x14ac:dyDescent="0.25">
      <c r="A739" s="2" t="s">
        <v>100</v>
      </c>
      <c r="B739" s="2" t="s">
        <v>22</v>
      </c>
      <c r="C739" s="2" t="s">
        <v>30</v>
      </c>
      <c r="D739" s="2" t="s">
        <v>105</v>
      </c>
      <c r="E739" s="2">
        <v>746504</v>
      </c>
      <c r="F739" s="2">
        <v>878240</v>
      </c>
      <c r="G739" s="2">
        <v>1471052</v>
      </c>
      <c r="H739" s="2">
        <v>439120</v>
      </c>
      <c r="I739" s="2">
        <v>548900</v>
      </c>
    </row>
    <row r="740" spans="1:9" x14ac:dyDescent="0.25">
      <c r="A740" s="1" t="s">
        <v>100</v>
      </c>
      <c r="B740" s="1" t="s">
        <v>22</v>
      </c>
      <c r="C740" s="1" t="s">
        <v>31</v>
      </c>
      <c r="D740" s="1" t="s">
        <v>105</v>
      </c>
      <c r="E740" s="1">
        <v>164780</v>
      </c>
      <c r="F740" s="1">
        <v>441910</v>
      </c>
      <c r="G740" s="1">
        <v>704060</v>
      </c>
      <c r="H740" s="1">
        <v>344540</v>
      </c>
      <c r="I740" s="1">
        <v>254660</v>
      </c>
    </row>
    <row r="741" spans="1:9" x14ac:dyDescent="0.25">
      <c r="A741" s="2" t="s">
        <v>100</v>
      </c>
      <c r="B741" s="2" t="s">
        <v>22</v>
      </c>
      <c r="C741" s="2" t="s">
        <v>32</v>
      </c>
      <c r="D741" s="2" t="s">
        <v>105</v>
      </c>
      <c r="E741" s="2">
        <v>461250</v>
      </c>
      <c r="F741" s="2">
        <v>953250</v>
      </c>
      <c r="G741" s="2">
        <v>1076250</v>
      </c>
      <c r="H741" s="2">
        <v>2214000</v>
      </c>
      <c r="I741" s="2">
        <v>1014750</v>
      </c>
    </row>
    <row r="742" spans="1:9" x14ac:dyDescent="0.25">
      <c r="A742" s="1" t="s">
        <v>100</v>
      </c>
      <c r="B742" s="1" t="s">
        <v>33</v>
      </c>
      <c r="C742" s="1" t="s">
        <v>34</v>
      </c>
      <c r="D742" s="1" t="s">
        <v>105</v>
      </c>
      <c r="E742" s="1">
        <v>504300</v>
      </c>
      <c r="F742" s="1">
        <v>381300</v>
      </c>
      <c r="G742" s="1">
        <v>356700</v>
      </c>
      <c r="H742" s="1">
        <v>1082400</v>
      </c>
      <c r="I742" s="1">
        <v>516600</v>
      </c>
    </row>
    <row r="743" spans="1:9" x14ac:dyDescent="0.25">
      <c r="A743" s="2" t="s">
        <v>100</v>
      </c>
      <c r="B743" s="2" t="s">
        <v>33</v>
      </c>
      <c r="C743" s="2" t="s">
        <v>35</v>
      </c>
      <c r="D743" s="2" t="s">
        <v>105</v>
      </c>
      <c r="E743" s="2">
        <v>1372000</v>
      </c>
      <c r="F743" s="2">
        <v>2772000</v>
      </c>
      <c r="G743" s="2">
        <v>392000</v>
      </c>
      <c r="H743" s="2">
        <v>2212000</v>
      </c>
      <c r="I743" s="2">
        <v>952000</v>
      </c>
    </row>
    <row r="744" spans="1:9" x14ac:dyDescent="0.25">
      <c r="A744" s="1" t="s">
        <v>100</v>
      </c>
      <c r="B744" s="1" t="s">
        <v>33</v>
      </c>
      <c r="C744" s="1" t="s">
        <v>36</v>
      </c>
      <c r="D744" s="1" t="s">
        <v>105</v>
      </c>
      <c r="E744" s="1">
        <v>1081620</v>
      </c>
      <c r="F744" s="1">
        <v>1141710</v>
      </c>
      <c r="G744" s="1">
        <v>1622430</v>
      </c>
      <c r="H744" s="1">
        <v>921380</v>
      </c>
      <c r="I744" s="1">
        <v>300450</v>
      </c>
    </row>
    <row r="745" spans="1:9" x14ac:dyDescent="0.25">
      <c r="A745" s="2" t="s">
        <v>100</v>
      </c>
      <c r="B745" s="2" t="s">
        <v>33</v>
      </c>
      <c r="C745" s="2" t="s">
        <v>37</v>
      </c>
      <c r="D745" s="2" t="s">
        <v>105</v>
      </c>
      <c r="E745" s="2">
        <v>217800</v>
      </c>
      <c r="F745" s="2">
        <v>198000</v>
      </c>
      <c r="G745" s="2">
        <v>811800</v>
      </c>
      <c r="H745" s="2">
        <v>396000</v>
      </c>
      <c r="I745" s="2">
        <v>455400</v>
      </c>
    </row>
    <row r="746" spans="1:9" x14ac:dyDescent="0.25">
      <c r="A746" s="1" t="s">
        <v>100</v>
      </c>
      <c r="B746" s="1" t="s">
        <v>33</v>
      </c>
      <c r="C746" s="1" t="s">
        <v>38</v>
      </c>
      <c r="D746" s="1" t="s">
        <v>105</v>
      </c>
      <c r="E746" s="1">
        <v>378000</v>
      </c>
      <c r="F746" s="1">
        <v>486000</v>
      </c>
      <c r="G746" s="1">
        <v>432000</v>
      </c>
      <c r="H746" s="1">
        <v>1116000</v>
      </c>
      <c r="I746" s="1">
        <v>630000</v>
      </c>
    </row>
    <row r="747" spans="1:9" x14ac:dyDescent="0.25">
      <c r="A747" s="2" t="s">
        <v>100</v>
      </c>
      <c r="B747" s="2" t="s">
        <v>33</v>
      </c>
      <c r="C747" s="2" t="s">
        <v>39</v>
      </c>
      <c r="D747" s="2" t="s">
        <v>105</v>
      </c>
      <c r="E747" s="2">
        <v>1644060</v>
      </c>
      <c r="F747" s="2">
        <v>1031910</v>
      </c>
      <c r="G747" s="2">
        <v>1591590</v>
      </c>
      <c r="H747" s="2">
        <v>1434180</v>
      </c>
      <c r="I747" s="2">
        <v>1259280</v>
      </c>
    </row>
    <row r="748" spans="1:9" x14ac:dyDescent="0.25">
      <c r="A748" s="1" t="s">
        <v>100</v>
      </c>
      <c r="B748" s="1" t="s">
        <v>33</v>
      </c>
      <c r="C748" s="1" t="s">
        <v>40</v>
      </c>
      <c r="D748" s="1" t="s">
        <v>105</v>
      </c>
      <c r="E748" s="1">
        <v>638940</v>
      </c>
      <c r="F748" s="1">
        <v>402810</v>
      </c>
      <c r="G748" s="1">
        <v>652830</v>
      </c>
      <c r="H748" s="1">
        <v>1138980</v>
      </c>
      <c r="I748" s="1">
        <v>944520</v>
      </c>
    </row>
    <row r="749" spans="1:9" x14ac:dyDescent="0.25">
      <c r="A749" s="2" t="s">
        <v>100</v>
      </c>
      <c r="B749" s="2" t="s">
        <v>33</v>
      </c>
      <c r="C749" s="2" t="s">
        <v>41</v>
      </c>
      <c r="D749" s="2" t="s">
        <v>105</v>
      </c>
      <c r="E749" s="2">
        <v>465830</v>
      </c>
      <c r="F749" s="2">
        <v>214030</v>
      </c>
      <c r="G749" s="2">
        <v>780580</v>
      </c>
      <c r="H749" s="2">
        <v>654680</v>
      </c>
      <c r="I749" s="2">
        <v>780580</v>
      </c>
    </row>
    <row r="750" spans="1:9" x14ac:dyDescent="0.25">
      <c r="A750" s="1" t="s">
        <v>100</v>
      </c>
      <c r="B750" s="1" t="s">
        <v>33</v>
      </c>
      <c r="C750" s="1" t="s">
        <v>42</v>
      </c>
      <c r="D750" s="1" t="s">
        <v>105</v>
      </c>
      <c r="E750" s="1">
        <v>219040</v>
      </c>
      <c r="F750" s="1">
        <v>75295</v>
      </c>
      <c r="G750" s="1">
        <v>663965</v>
      </c>
      <c r="H750" s="1">
        <v>130055</v>
      </c>
      <c r="I750" s="1">
        <v>520220</v>
      </c>
    </row>
    <row r="751" spans="1:9" x14ac:dyDescent="0.25">
      <c r="A751" s="2" t="s">
        <v>100</v>
      </c>
      <c r="B751" s="2" t="s">
        <v>33</v>
      </c>
      <c r="C751" s="2" t="s">
        <v>43</v>
      </c>
      <c r="D751" s="2" t="s">
        <v>105</v>
      </c>
      <c r="E751" s="2">
        <v>360000</v>
      </c>
      <c r="F751" s="2">
        <v>592500</v>
      </c>
      <c r="G751" s="2">
        <v>600000</v>
      </c>
      <c r="H751" s="2">
        <v>172500</v>
      </c>
      <c r="I751" s="2">
        <v>652500</v>
      </c>
    </row>
    <row r="752" spans="1:9" x14ac:dyDescent="0.25">
      <c r="A752" s="1" t="s">
        <v>100</v>
      </c>
      <c r="B752" s="1" t="s">
        <v>44</v>
      </c>
      <c r="C752" s="1" t="s">
        <v>45</v>
      </c>
      <c r="D752" s="1" t="s">
        <v>105</v>
      </c>
      <c r="E752" s="1">
        <v>827760</v>
      </c>
      <c r="F752" s="1">
        <v>689800</v>
      </c>
      <c r="G752" s="1">
        <v>2966140</v>
      </c>
      <c r="H752" s="1">
        <v>1103680</v>
      </c>
      <c r="I752" s="1">
        <v>1103680</v>
      </c>
    </row>
    <row r="753" spans="1:9" x14ac:dyDescent="0.25">
      <c r="A753" s="2" t="s">
        <v>100</v>
      </c>
      <c r="B753" s="2" t="s">
        <v>44</v>
      </c>
      <c r="C753" s="2" t="s">
        <v>46</v>
      </c>
      <c r="D753" s="2" t="s">
        <v>105</v>
      </c>
      <c r="E753" s="2">
        <v>986100</v>
      </c>
      <c r="F753" s="2">
        <v>1660800</v>
      </c>
      <c r="G753" s="2">
        <v>960150</v>
      </c>
      <c r="H753" s="2">
        <v>2179800</v>
      </c>
      <c r="I753" s="2">
        <v>934200</v>
      </c>
    </row>
    <row r="754" spans="1:9" x14ac:dyDescent="0.25">
      <c r="A754" s="1" t="s">
        <v>100</v>
      </c>
      <c r="B754" s="1" t="s">
        <v>44</v>
      </c>
      <c r="C754" s="1" t="s">
        <v>47</v>
      </c>
      <c r="D754" s="1" t="s">
        <v>105</v>
      </c>
      <c r="E754" s="1">
        <v>1607330</v>
      </c>
      <c r="F754" s="1">
        <v>1487380</v>
      </c>
      <c r="G754" s="1">
        <v>983590</v>
      </c>
      <c r="H754" s="1">
        <v>1055560</v>
      </c>
      <c r="I754" s="1">
        <v>1055560</v>
      </c>
    </row>
    <row r="755" spans="1:9" x14ac:dyDescent="0.25">
      <c r="A755" s="2" t="s">
        <v>100</v>
      </c>
      <c r="B755" s="2" t="s">
        <v>44</v>
      </c>
      <c r="C755" s="2" t="s">
        <v>48</v>
      </c>
      <c r="D755" s="2" t="s">
        <v>105</v>
      </c>
      <c r="E755" s="2">
        <v>175984</v>
      </c>
      <c r="F755" s="2">
        <v>340969</v>
      </c>
      <c r="G755" s="2">
        <v>1044905</v>
      </c>
      <c r="H755" s="2">
        <v>340969</v>
      </c>
      <c r="I755" s="2">
        <v>175984</v>
      </c>
    </row>
    <row r="756" spans="1:9" x14ac:dyDescent="0.25">
      <c r="A756" s="1" t="s">
        <v>100</v>
      </c>
      <c r="B756" s="1" t="s">
        <v>44</v>
      </c>
      <c r="C756" s="1" t="s">
        <v>49</v>
      </c>
      <c r="D756" s="1" t="s">
        <v>105</v>
      </c>
      <c r="E756" s="1">
        <v>2310000</v>
      </c>
      <c r="F756" s="1">
        <v>3150000</v>
      </c>
      <c r="G756" s="1">
        <v>2765000</v>
      </c>
      <c r="H756" s="1">
        <v>770000</v>
      </c>
      <c r="I756" s="1">
        <v>385000</v>
      </c>
    </row>
    <row r="757" spans="1:9" x14ac:dyDescent="0.25">
      <c r="A757" s="2" t="s">
        <v>100</v>
      </c>
      <c r="B757" s="2" t="s">
        <v>44</v>
      </c>
      <c r="C757" s="2" t="s">
        <v>50</v>
      </c>
      <c r="D757" s="2" t="s">
        <v>105</v>
      </c>
      <c r="E757" s="2">
        <v>249980</v>
      </c>
      <c r="F757" s="2">
        <v>924926</v>
      </c>
      <c r="G757" s="2">
        <v>887429</v>
      </c>
      <c r="H757" s="2">
        <v>412467</v>
      </c>
      <c r="I757" s="2">
        <v>799936</v>
      </c>
    </row>
    <row r="758" spans="1:9" x14ac:dyDescent="0.25">
      <c r="A758" s="1" t="s">
        <v>100</v>
      </c>
      <c r="B758" s="1" t="s">
        <v>44</v>
      </c>
      <c r="C758" s="1" t="s">
        <v>51</v>
      </c>
      <c r="D758" s="1" t="s">
        <v>105</v>
      </c>
      <c r="E758" s="1">
        <v>1124800</v>
      </c>
      <c r="F758" s="1">
        <v>1805600</v>
      </c>
      <c r="G758" s="1">
        <v>1509600</v>
      </c>
      <c r="H758" s="1">
        <v>1657600</v>
      </c>
      <c r="I758" s="1">
        <v>1687200</v>
      </c>
    </row>
    <row r="759" spans="1:9" x14ac:dyDescent="0.25">
      <c r="A759" s="2" t="s">
        <v>100</v>
      </c>
      <c r="B759" s="2" t="s">
        <v>44</v>
      </c>
      <c r="C759" s="2" t="s">
        <v>52</v>
      </c>
      <c r="D759" s="2" t="s">
        <v>105</v>
      </c>
      <c r="E759" s="2">
        <v>403000</v>
      </c>
      <c r="F759" s="2">
        <v>533000</v>
      </c>
      <c r="G759" s="2">
        <v>1079000</v>
      </c>
      <c r="H759" s="2">
        <v>637000</v>
      </c>
      <c r="I759" s="2">
        <v>1157000</v>
      </c>
    </row>
    <row r="760" spans="1:9" x14ac:dyDescent="0.25">
      <c r="A760" s="1" t="s">
        <v>100</v>
      </c>
      <c r="B760" s="1" t="s">
        <v>44</v>
      </c>
      <c r="C760" s="1" t="s">
        <v>53</v>
      </c>
      <c r="D760" s="1" t="s">
        <v>105</v>
      </c>
      <c r="E760" s="1">
        <v>1105280</v>
      </c>
      <c r="F760" s="1">
        <v>502400</v>
      </c>
      <c r="G760" s="1">
        <v>2486880</v>
      </c>
      <c r="H760" s="1">
        <v>1507200</v>
      </c>
      <c r="I760" s="1">
        <v>678240</v>
      </c>
    </row>
    <row r="761" spans="1:9" x14ac:dyDescent="0.25">
      <c r="A761" s="2" t="s">
        <v>100</v>
      </c>
      <c r="B761" s="2" t="s">
        <v>44</v>
      </c>
      <c r="C761" s="2" t="s">
        <v>54</v>
      </c>
      <c r="D761" s="2" t="s">
        <v>105</v>
      </c>
      <c r="E761" s="2">
        <v>238689</v>
      </c>
      <c r="F761" s="2">
        <v>1996308</v>
      </c>
      <c r="G761" s="2">
        <v>1019853</v>
      </c>
      <c r="H761" s="2">
        <v>1215144</v>
      </c>
      <c r="I761" s="2">
        <v>1388736</v>
      </c>
    </row>
    <row r="762" spans="1:9" x14ac:dyDescent="0.25">
      <c r="A762" s="1" t="s">
        <v>100</v>
      </c>
      <c r="B762" s="1" t="s">
        <v>55</v>
      </c>
      <c r="C762" s="1" t="s">
        <v>56</v>
      </c>
      <c r="D762" s="1" t="s">
        <v>105</v>
      </c>
      <c r="E762" s="1">
        <v>1648030</v>
      </c>
      <c r="F762" s="1">
        <v>560670</v>
      </c>
      <c r="G762" s="1">
        <v>1699000</v>
      </c>
      <c r="H762" s="1">
        <v>1495120</v>
      </c>
      <c r="I762" s="1">
        <v>781540</v>
      </c>
    </row>
    <row r="763" spans="1:9" x14ac:dyDescent="0.25">
      <c r="A763" s="2" t="s">
        <v>100</v>
      </c>
      <c r="B763" s="2" t="s">
        <v>55</v>
      </c>
      <c r="C763" s="2" t="s">
        <v>57</v>
      </c>
      <c r="D763" s="2" t="s">
        <v>105</v>
      </c>
      <c r="E763" s="2">
        <v>377964</v>
      </c>
      <c r="F763" s="2">
        <v>787425</v>
      </c>
      <c r="G763" s="2">
        <v>923912</v>
      </c>
      <c r="H763" s="2">
        <v>787425</v>
      </c>
      <c r="I763" s="2">
        <v>440958</v>
      </c>
    </row>
    <row r="764" spans="1:9" x14ac:dyDescent="0.25">
      <c r="A764" s="1" t="s">
        <v>100</v>
      </c>
      <c r="B764" s="1" t="s">
        <v>55</v>
      </c>
      <c r="C764" s="1" t="s">
        <v>58</v>
      </c>
      <c r="D764" s="1" t="s">
        <v>105</v>
      </c>
      <c r="E764" s="1">
        <v>1147600</v>
      </c>
      <c r="F764" s="1">
        <v>1147600</v>
      </c>
      <c r="G764" s="1">
        <v>634200</v>
      </c>
      <c r="H764" s="1">
        <v>2536800</v>
      </c>
      <c r="I764" s="1">
        <v>906000</v>
      </c>
    </row>
    <row r="765" spans="1:9" x14ac:dyDescent="0.25">
      <c r="A765" s="2" t="s">
        <v>100</v>
      </c>
      <c r="B765" s="2" t="s">
        <v>55</v>
      </c>
      <c r="C765" s="2" t="s">
        <v>59</v>
      </c>
      <c r="D765" s="2" t="s">
        <v>105</v>
      </c>
      <c r="E765" s="2">
        <v>919908</v>
      </c>
      <c r="F765" s="2">
        <v>679932</v>
      </c>
      <c r="G765" s="2">
        <v>749925</v>
      </c>
      <c r="H765" s="2">
        <v>349965</v>
      </c>
      <c r="I765" s="2">
        <v>589941</v>
      </c>
    </row>
    <row r="766" spans="1:9" x14ac:dyDescent="0.25">
      <c r="A766" s="1" t="s">
        <v>100</v>
      </c>
      <c r="B766" s="1" t="s">
        <v>55</v>
      </c>
      <c r="C766" s="1" t="s">
        <v>60</v>
      </c>
      <c r="D766" s="1" t="s">
        <v>105</v>
      </c>
      <c r="E766" s="1">
        <v>585539</v>
      </c>
      <c r="F766" s="1">
        <v>230376</v>
      </c>
      <c r="G766" s="1">
        <v>671930</v>
      </c>
      <c r="H766" s="1">
        <v>796717</v>
      </c>
      <c r="I766" s="1">
        <v>307168</v>
      </c>
    </row>
    <row r="767" spans="1:9" x14ac:dyDescent="0.25">
      <c r="A767" s="2" t="s">
        <v>100</v>
      </c>
      <c r="B767" s="2" t="s">
        <v>55</v>
      </c>
      <c r="C767" s="2" t="s">
        <v>61</v>
      </c>
      <c r="D767" s="2" t="s">
        <v>105</v>
      </c>
      <c r="E767" s="2">
        <v>702963</v>
      </c>
      <c r="F767" s="2">
        <v>1234935</v>
      </c>
      <c r="G767" s="2">
        <v>265986</v>
      </c>
      <c r="H767" s="2">
        <v>1804905</v>
      </c>
      <c r="I767" s="2">
        <v>227988</v>
      </c>
    </row>
    <row r="768" spans="1:9" x14ac:dyDescent="0.25">
      <c r="A768" s="1" t="s">
        <v>100</v>
      </c>
      <c r="B768" s="1" t="s">
        <v>55</v>
      </c>
      <c r="C768" s="1" t="s">
        <v>62</v>
      </c>
      <c r="D768" s="1" t="s">
        <v>105</v>
      </c>
      <c r="E768" s="1">
        <v>439978</v>
      </c>
      <c r="F768" s="1">
        <v>1039948</v>
      </c>
      <c r="G768" s="1">
        <v>1079946</v>
      </c>
      <c r="H768" s="1">
        <v>1679916</v>
      </c>
      <c r="I768" s="1">
        <v>1379931</v>
      </c>
    </row>
    <row r="769" spans="1:9" x14ac:dyDescent="0.25">
      <c r="A769" s="2" t="s">
        <v>100</v>
      </c>
      <c r="B769" s="2" t="s">
        <v>55</v>
      </c>
      <c r="C769" s="2" t="s">
        <v>63</v>
      </c>
      <c r="D769" s="2" t="s">
        <v>105</v>
      </c>
      <c r="E769" s="2">
        <v>647910</v>
      </c>
      <c r="F769" s="2">
        <v>103290</v>
      </c>
      <c r="G769" s="2">
        <v>788760</v>
      </c>
      <c r="H769" s="2">
        <v>122070</v>
      </c>
      <c r="I769" s="2">
        <v>741810</v>
      </c>
    </row>
    <row r="770" spans="1:9" x14ac:dyDescent="0.25">
      <c r="A770" s="1" t="s">
        <v>100</v>
      </c>
      <c r="B770" s="1" t="s">
        <v>55</v>
      </c>
      <c r="C770" s="1" t="s">
        <v>64</v>
      </c>
      <c r="D770" s="1" t="s">
        <v>105</v>
      </c>
      <c r="E770" s="1">
        <v>2079000</v>
      </c>
      <c r="F770" s="1">
        <v>861000</v>
      </c>
      <c r="G770" s="1">
        <v>1995000</v>
      </c>
      <c r="H770" s="1">
        <v>840000</v>
      </c>
      <c r="I770" s="1">
        <v>1953000</v>
      </c>
    </row>
    <row r="771" spans="1:9" x14ac:dyDescent="0.25">
      <c r="A771" s="2" t="s">
        <v>100</v>
      </c>
      <c r="B771" s="2" t="s">
        <v>55</v>
      </c>
      <c r="C771" s="2" t="s">
        <v>65</v>
      </c>
      <c r="D771" s="2" t="s">
        <v>105</v>
      </c>
      <c r="E771" s="2">
        <v>1975000</v>
      </c>
      <c r="F771" s="2">
        <v>1850000</v>
      </c>
      <c r="G771" s="2">
        <v>1125000</v>
      </c>
      <c r="H771" s="2">
        <v>2000000</v>
      </c>
      <c r="I771" s="2">
        <v>550000</v>
      </c>
    </row>
    <row r="772" spans="1:9" x14ac:dyDescent="0.25">
      <c r="A772" s="1" t="s">
        <v>100</v>
      </c>
      <c r="B772" s="1" t="s">
        <v>66</v>
      </c>
      <c r="C772" s="1" t="s">
        <v>67</v>
      </c>
      <c r="D772" s="1" t="s">
        <v>105</v>
      </c>
      <c r="E772" s="1">
        <v>1119965</v>
      </c>
      <c r="F772" s="1">
        <v>1183963</v>
      </c>
      <c r="G772" s="1">
        <v>1471954</v>
      </c>
      <c r="H772" s="1">
        <v>2655917</v>
      </c>
      <c r="I772" s="1">
        <v>2495922</v>
      </c>
    </row>
    <row r="773" spans="1:9" x14ac:dyDescent="0.25">
      <c r="A773" s="2" t="s">
        <v>100</v>
      </c>
      <c r="B773" s="2" t="s">
        <v>66</v>
      </c>
      <c r="C773" s="2" t="s">
        <v>68</v>
      </c>
      <c r="D773" s="2" t="s">
        <v>105</v>
      </c>
      <c r="E773" s="2">
        <v>757574</v>
      </c>
      <c r="F773" s="2">
        <v>543477</v>
      </c>
      <c r="G773" s="2">
        <v>279973</v>
      </c>
      <c r="H773" s="2">
        <v>444663</v>
      </c>
      <c r="I773" s="2">
        <v>691698</v>
      </c>
    </row>
    <row r="774" spans="1:9" x14ac:dyDescent="0.25">
      <c r="A774" s="1" t="s">
        <v>100</v>
      </c>
      <c r="B774" s="1" t="s">
        <v>66</v>
      </c>
      <c r="C774" s="1" t="s">
        <v>69</v>
      </c>
      <c r="D774" s="1" t="s">
        <v>105</v>
      </c>
      <c r="E774" s="1">
        <v>812613</v>
      </c>
      <c r="F774" s="1">
        <v>895052</v>
      </c>
      <c r="G774" s="1">
        <v>930383</v>
      </c>
      <c r="H774" s="1">
        <v>329756</v>
      </c>
      <c r="I774" s="1">
        <v>259094</v>
      </c>
    </row>
    <row r="775" spans="1:9" x14ac:dyDescent="0.25">
      <c r="A775" s="2" t="s">
        <v>100</v>
      </c>
      <c r="B775" s="2" t="s">
        <v>66</v>
      </c>
      <c r="C775" s="2" t="s">
        <v>70</v>
      </c>
      <c r="D775" s="2" t="s">
        <v>105</v>
      </c>
      <c r="E775" s="2">
        <v>211960</v>
      </c>
      <c r="F775" s="2">
        <v>445116</v>
      </c>
      <c r="G775" s="2">
        <v>174867</v>
      </c>
      <c r="H775" s="2">
        <v>201362</v>
      </c>
      <c r="I775" s="2">
        <v>116578</v>
      </c>
    </row>
    <row r="776" spans="1:9" x14ac:dyDescent="0.25">
      <c r="A776" s="1" t="s">
        <v>100</v>
      </c>
      <c r="B776" s="1" t="s">
        <v>66</v>
      </c>
      <c r="C776" s="1" t="s">
        <v>71</v>
      </c>
      <c r="D776" s="1" t="s">
        <v>105</v>
      </c>
      <c r="E776" s="1">
        <v>818800</v>
      </c>
      <c r="F776" s="1">
        <v>195800</v>
      </c>
      <c r="G776" s="1">
        <v>569600</v>
      </c>
      <c r="H776" s="1">
        <v>890000</v>
      </c>
      <c r="I776" s="1">
        <v>676400</v>
      </c>
    </row>
    <row r="777" spans="1:9" x14ac:dyDescent="0.25">
      <c r="A777" s="2" t="s">
        <v>100</v>
      </c>
      <c r="B777" s="2" t="s">
        <v>66</v>
      </c>
      <c r="C777" s="2" t="s">
        <v>72</v>
      </c>
      <c r="D777" s="2" t="s">
        <v>105</v>
      </c>
      <c r="E777" s="2">
        <v>513452</v>
      </c>
      <c r="F777" s="2">
        <v>2232400</v>
      </c>
      <c r="G777" s="2">
        <v>2053808</v>
      </c>
      <c r="H777" s="2">
        <v>669720</v>
      </c>
      <c r="I777" s="2">
        <v>401832</v>
      </c>
    </row>
    <row r="778" spans="1:9" x14ac:dyDescent="0.25">
      <c r="A778" s="1" t="s">
        <v>100</v>
      </c>
      <c r="B778" s="1" t="s">
        <v>66</v>
      </c>
      <c r="C778" s="1" t="s">
        <v>73</v>
      </c>
      <c r="D778" s="1" t="s">
        <v>105</v>
      </c>
      <c r="E778" s="1">
        <v>1585390</v>
      </c>
      <c r="F778" s="1">
        <v>701730</v>
      </c>
      <c r="G778" s="1">
        <v>987620</v>
      </c>
      <c r="H778" s="1">
        <v>259900</v>
      </c>
      <c r="I778" s="1">
        <v>389850</v>
      </c>
    </row>
    <row r="779" spans="1:9" x14ac:dyDescent="0.25">
      <c r="A779" s="2" t="s">
        <v>100</v>
      </c>
      <c r="B779" s="2" t="s">
        <v>66</v>
      </c>
      <c r="C779" s="2" t="s">
        <v>74</v>
      </c>
      <c r="D779" s="2" t="s">
        <v>105</v>
      </c>
      <c r="E779" s="2">
        <v>800000</v>
      </c>
      <c r="F779" s="2">
        <v>780000</v>
      </c>
      <c r="G779" s="2">
        <v>460000</v>
      </c>
      <c r="H779" s="2">
        <v>1900000</v>
      </c>
      <c r="I779" s="2">
        <v>460000</v>
      </c>
    </row>
    <row r="780" spans="1:9" x14ac:dyDescent="0.25">
      <c r="A780" s="1" t="s">
        <v>100</v>
      </c>
      <c r="B780" s="1" t="s">
        <v>66</v>
      </c>
      <c r="C780" s="1" t="s">
        <v>75</v>
      </c>
      <c r="D780" s="1" t="s">
        <v>105</v>
      </c>
      <c r="E780" s="1">
        <v>273000</v>
      </c>
      <c r="F780" s="1">
        <v>588000</v>
      </c>
      <c r="G780" s="1">
        <v>1890000</v>
      </c>
      <c r="H780" s="1">
        <v>903000</v>
      </c>
      <c r="I780" s="1">
        <v>1617000</v>
      </c>
    </row>
    <row r="781" spans="1:9" x14ac:dyDescent="0.25">
      <c r="A781" s="2" t="s">
        <v>100</v>
      </c>
      <c r="B781" s="2" t="s">
        <v>66</v>
      </c>
      <c r="C781" s="2" t="s">
        <v>76</v>
      </c>
      <c r="D781" s="2" t="s">
        <v>105</v>
      </c>
      <c r="E781" s="2">
        <v>858000</v>
      </c>
      <c r="F781" s="2">
        <v>1364000</v>
      </c>
      <c r="G781" s="2">
        <v>1518000</v>
      </c>
      <c r="H781" s="2">
        <v>1628000</v>
      </c>
      <c r="I781" s="2">
        <v>2046000</v>
      </c>
    </row>
    <row r="782" spans="1:9" x14ac:dyDescent="0.25">
      <c r="A782" s="1" t="s">
        <v>100</v>
      </c>
      <c r="B782" s="1" t="s">
        <v>77</v>
      </c>
      <c r="C782" s="1" t="s">
        <v>78</v>
      </c>
      <c r="D782" s="1" t="s">
        <v>105</v>
      </c>
      <c r="E782" s="1">
        <v>2380500</v>
      </c>
      <c r="F782" s="1">
        <v>370300</v>
      </c>
      <c r="G782" s="1">
        <v>767050</v>
      </c>
      <c r="H782" s="1">
        <v>1322500</v>
      </c>
      <c r="I782" s="1">
        <v>1851500</v>
      </c>
    </row>
    <row r="783" spans="1:9" x14ac:dyDescent="0.25">
      <c r="A783" s="2" t="s">
        <v>100</v>
      </c>
      <c r="B783" s="2" t="s">
        <v>77</v>
      </c>
      <c r="C783" s="2" t="s">
        <v>79</v>
      </c>
      <c r="D783" s="2" t="s">
        <v>105</v>
      </c>
      <c r="E783" s="2">
        <v>902382</v>
      </c>
      <c r="F783" s="2">
        <v>470808</v>
      </c>
      <c r="G783" s="2">
        <v>1039701</v>
      </c>
      <c r="H783" s="2">
        <v>686595</v>
      </c>
      <c r="I783" s="2">
        <v>529659</v>
      </c>
    </row>
    <row r="784" spans="1:9" x14ac:dyDescent="0.25">
      <c r="A784" s="1" t="s">
        <v>100</v>
      </c>
      <c r="B784" s="1" t="s">
        <v>77</v>
      </c>
      <c r="C784" s="1" t="s">
        <v>80</v>
      </c>
      <c r="D784" s="1" t="s">
        <v>105</v>
      </c>
      <c r="E784" s="1">
        <v>2323890</v>
      </c>
      <c r="F784" s="1">
        <v>1291050</v>
      </c>
      <c r="G784" s="1">
        <v>1491880</v>
      </c>
      <c r="H784" s="1">
        <v>1721400</v>
      </c>
      <c r="I784" s="1">
        <v>1377120</v>
      </c>
    </row>
    <row r="785" spans="1:9" x14ac:dyDescent="0.25">
      <c r="A785" s="2" t="s">
        <v>100</v>
      </c>
      <c r="B785" s="2" t="s">
        <v>77</v>
      </c>
      <c r="C785" s="2" t="s">
        <v>81</v>
      </c>
      <c r="D785" s="2" t="s">
        <v>105</v>
      </c>
      <c r="E785" s="2">
        <v>379800</v>
      </c>
      <c r="F785" s="2">
        <v>1329300</v>
      </c>
      <c r="G785" s="2">
        <v>968490</v>
      </c>
      <c r="H785" s="2">
        <v>1215360</v>
      </c>
      <c r="I785" s="2">
        <v>816570</v>
      </c>
    </row>
    <row r="786" spans="1:9" x14ac:dyDescent="0.25">
      <c r="A786" s="1" t="s">
        <v>100</v>
      </c>
      <c r="B786" s="1" t="s">
        <v>77</v>
      </c>
      <c r="C786" s="1" t="s">
        <v>82</v>
      </c>
      <c r="D786" s="1" t="s">
        <v>105</v>
      </c>
      <c r="E786" s="1">
        <v>2153490</v>
      </c>
      <c r="F786" s="1">
        <v>2028650</v>
      </c>
      <c r="G786" s="1">
        <v>2559220</v>
      </c>
      <c r="H786" s="1">
        <v>1560500</v>
      </c>
      <c r="I786" s="1">
        <v>592990</v>
      </c>
    </row>
    <row r="787" spans="1:9" x14ac:dyDescent="0.25">
      <c r="A787" s="2" t="s">
        <v>100</v>
      </c>
      <c r="B787" s="2" t="s">
        <v>77</v>
      </c>
      <c r="C787" s="2" t="s">
        <v>83</v>
      </c>
      <c r="D787" s="2" t="s">
        <v>105</v>
      </c>
      <c r="E787" s="2">
        <v>800640</v>
      </c>
      <c r="F787" s="2">
        <v>1434480</v>
      </c>
      <c r="G787" s="2">
        <v>1134240</v>
      </c>
      <c r="H787" s="2">
        <v>3302640</v>
      </c>
      <c r="I787" s="2">
        <v>1067520</v>
      </c>
    </row>
    <row r="788" spans="1:9" x14ac:dyDescent="0.25">
      <c r="A788" s="1" t="s">
        <v>100</v>
      </c>
      <c r="B788" s="1" t="s">
        <v>77</v>
      </c>
      <c r="C788" s="1" t="s">
        <v>84</v>
      </c>
      <c r="D788" s="1" t="s">
        <v>105</v>
      </c>
      <c r="E788" s="1">
        <v>839958</v>
      </c>
      <c r="F788" s="1">
        <v>1379931</v>
      </c>
      <c r="G788" s="1">
        <v>219989</v>
      </c>
      <c r="H788" s="1">
        <v>1379931</v>
      </c>
      <c r="I788" s="1">
        <v>759962</v>
      </c>
    </row>
    <row r="789" spans="1:9" x14ac:dyDescent="0.25">
      <c r="A789" s="2" t="s">
        <v>100</v>
      </c>
      <c r="B789" s="2" t="s">
        <v>77</v>
      </c>
      <c r="C789" s="2" t="s">
        <v>85</v>
      </c>
      <c r="D789" s="2" t="s">
        <v>105</v>
      </c>
      <c r="E789" s="2">
        <v>1464950</v>
      </c>
      <c r="F789" s="2">
        <v>600100</v>
      </c>
      <c r="G789" s="2">
        <v>1429650</v>
      </c>
      <c r="H789" s="2">
        <v>1606150</v>
      </c>
      <c r="I789" s="2">
        <v>264750</v>
      </c>
    </row>
    <row r="790" spans="1:9" x14ac:dyDescent="0.25">
      <c r="A790" s="1" t="s">
        <v>100</v>
      </c>
      <c r="B790" s="1" t="s">
        <v>77</v>
      </c>
      <c r="C790" s="1" t="s">
        <v>86</v>
      </c>
      <c r="D790" s="1" t="s">
        <v>105</v>
      </c>
      <c r="E790" s="1">
        <v>1474400</v>
      </c>
      <c r="F790" s="1">
        <v>380000</v>
      </c>
      <c r="G790" s="1">
        <v>516800</v>
      </c>
      <c r="H790" s="1">
        <v>501600</v>
      </c>
      <c r="I790" s="1">
        <v>532000</v>
      </c>
    </row>
    <row r="791" spans="1:9" x14ac:dyDescent="0.25">
      <c r="A791" s="2" t="s">
        <v>100</v>
      </c>
      <c r="B791" s="2" t="s">
        <v>77</v>
      </c>
      <c r="C791" s="2" t="s">
        <v>87</v>
      </c>
      <c r="D791" s="2" t="s">
        <v>105</v>
      </c>
      <c r="E791" s="2">
        <v>963900</v>
      </c>
      <c r="F791" s="2">
        <v>1445850</v>
      </c>
      <c r="G791" s="2">
        <v>1858950</v>
      </c>
      <c r="H791" s="2">
        <v>895050</v>
      </c>
      <c r="I791" s="2">
        <v>2065500</v>
      </c>
    </row>
    <row r="792" spans="1:9" x14ac:dyDescent="0.25">
      <c r="A792" s="1" t="s">
        <v>100</v>
      </c>
      <c r="B792" s="1" t="s">
        <v>88</v>
      </c>
      <c r="C792" s="1" t="s">
        <v>89</v>
      </c>
      <c r="D792" s="1" t="s">
        <v>105</v>
      </c>
      <c r="E792" s="1">
        <v>5750000</v>
      </c>
      <c r="F792" s="1">
        <v>5117500</v>
      </c>
      <c r="G792" s="1">
        <v>5002500</v>
      </c>
      <c r="H792" s="1">
        <v>4830000</v>
      </c>
      <c r="I792" s="1">
        <v>5577500</v>
      </c>
    </row>
    <row r="793" spans="1:9" x14ac:dyDescent="0.25">
      <c r="A793" s="2" t="s">
        <v>100</v>
      </c>
      <c r="B793" s="2" t="s">
        <v>88</v>
      </c>
      <c r="C793" s="2" t="s">
        <v>90</v>
      </c>
      <c r="D793" s="2" t="s">
        <v>105</v>
      </c>
      <c r="E793" s="2">
        <v>2086900</v>
      </c>
      <c r="F793" s="2">
        <v>763500</v>
      </c>
      <c r="G793" s="2">
        <v>1781500</v>
      </c>
      <c r="H793" s="2">
        <v>1832400</v>
      </c>
      <c r="I793" s="2">
        <v>4173800</v>
      </c>
    </row>
    <row r="794" spans="1:9" x14ac:dyDescent="0.25">
      <c r="A794" s="1" t="s">
        <v>100</v>
      </c>
      <c r="B794" s="1" t="s">
        <v>88</v>
      </c>
      <c r="C794" s="1" t="s">
        <v>91</v>
      </c>
      <c r="D794" s="1" t="s">
        <v>105</v>
      </c>
      <c r="E794" s="1">
        <v>801000</v>
      </c>
      <c r="F794" s="1">
        <v>3604500</v>
      </c>
      <c r="G794" s="1">
        <v>845500</v>
      </c>
      <c r="H794" s="1">
        <v>2002500</v>
      </c>
      <c r="I794" s="1">
        <v>1424000</v>
      </c>
    </row>
    <row r="795" spans="1:9" x14ac:dyDescent="0.25">
      <c r="A795" s="2" t="s">
        <v>100</v>
      </c>
      <c r="B795" s="2" t="s">
        <v>88</v>
      </c>
      <c r="C795" s="2" t="s">
        <v>92</v>
      </c>
      <c r="D795" s="2" t="s">
        <v>105</v>
      </c>
      <c r="E795" s="2">
        <v>1895000</v>
      </c>
      <c r="F795" s="2">
        <v>2274000</v>
      </c>
      <c r="G795" s="2">
        <v>1440200</v>
      </c>
      <c r="H795" s="2">
        <v>682200</v>
      </c>
      <c r="I795" s="2">
        <v>3145700</v>
      </c>
    </row>
    <row r="796" spans="1:9" x14ac:dyDescent="0.25">
      <c r="A796" s="1" t="s">
        <v>100</v>
      </c>
      <c r="B796" s="1" t="s">
        <v>88</v>
      </c>
      <c r="C796" s="1" t="s">
        <v>93</v>
      </c>
      <c r="D796" s="1" t="s">
        <v>105</v>
      </c>
      <c r="E796" s="1">
        <v>1858500</v>
      </c>
      <c r="F796" s="1">
        <v>1032500</v>
      </c>
      <c r="G796" s="1">
        <v>295000</v>
      </c>
      <c r="H796" s="1">
        <v>1770000</v>
      </c>
      <c r="I796" s="1">
        <v>560500</v>
      </c>
    </row>
    <row r="797" spans="1:9" x14ac:dyDescent="0.25">
      <c r="A797" s="2" t="s">
        <v>100</v>
      </c>
      <c r="B797" s="2" t="s">
        <v>88</v>
      </c>
      <c r="C797" s="2" t="s">
        <v>94</v>
      </c>
      <c r="D797" s="2" t="s">
        <v>105</v>
      </c>
      <c r="E797" s="2">
        <v>2311500</v>
      </c>
      <c r="F797" s="2">
        <v>2967000</v>
      </c>
      <c r="G797" s="2">
        <v>690000</v>
      </c>
      <c r="H797" s="2">
        <v>1552500</v>
      </c>
      <c r="I797" s="2">
        <v>2863500</v>
      </c>
    </row>
    <row r="798" spans="1:9" x14ac:dyDescent="0.25">
      <c r="A798" s="1" t="s">
        <v>100</v>
      </c>
      <c r="B798" s="1" t="s">
        <v>88</v>
      </c>
      <c r="C798" s="1" t="s">
        <v>95</v>
      </c>
      <c r="D798" s="1" t="s">
        <v>105</v>
      </c>
      <c r="E798" s="1">
        <v>3002000</v>
      </c>
      <c r="F798" s="1">
        <v>3555000</v>
      </c>
      <c r="G798" s="1">
        <v>2409500</v>
      </c>
      <c r="H798" s="1">
        <v>1264000</v>
      </c>
      <c r="I798" s="1">
        <v>1580000</v>
      </c>
    </row>
    <row r="799" spans="1:9" x14ac:dyDescent="0.25">
      <c r="A799" s="2" t="s">
        <v>100</v>
      </c>
      <c r="B799" s="2" t="s">
        <v>88</v>
      </c>
      <c r="C799" s="2" t="s">
        <v>96</v>
      </c>
      <c r="D799" s="2" t="s">
        <v>105</v>
      </c>
      <c r="E799" s="2">
        <v>3431700</v>
      </c>
      <c r="F799" s="2">
        <v>3136500</v>
      </c>
      <c r="G799" s="2">
        <v>2103300</v>
      </c>
      <c r="H799" s="2">
        <v>3173400</v>
      </c>
      <c r="I799" s="2">
        <v>2029500</v>
      </c>
    </row>
    <row r="800" spans="1:9" x14ac:dyDescent="0.25">
      <c r="A800" s="1" t="s">
        <v>100</v>
      </c>
      <c r="B800" s="1" t="s">
        <v>88</v>
      </c>
      <c r="C800" s="1" t="s">
        <v>97</v>
      </c>
      <c r="D800" s="1" t="s">
        <v>105</v>
      </c>
      <c r="E800" s="1">
        <v>3645300</v>
      </c>
      <c r="F800" s="1">
        <v>1215100</v>
      </c>
      <c r="G800" s="1">
        <v>1005600</v>
      </c>
      <c r="H800" s="1">
        <v>2597800</v>
      </c>
      <c r="I800" s="1">
        <v>419000</v>
      </c>
    </row>
    <row r="801" spans="1:9" x14ac:dyDescent="0.25">
      <c r="A801" s="2" t="s">
        <v>100</v>
      </c>
      <c r="B801" s="2" t="s">
        <v>88</v>
      </c>
      <c r="C801" s="2" t="s">
        <v>98</v>
      </c>
      <c r="D801" s="2" t="s">
        <v>105</v>
      </c>
      <c r="E801" s="2">
        <v>1594600</v>
      </c>
      <c r="F801" s="2">
        <v>1735300</v>
      </c>
      <c r="G801" s="2">
        <v>2485700</v>
      </c>
      <c r="H801" s="2">
        <v>4549300</v>
      </c>
      <c r="I801" s="2">
        <v>891100</v>
      </c>
    </row>
    <row r="802" spans="1:9" x14ac:dyDescent="0.25">
      <c r="A802" s="1" t="s">
        <v>101</v>
      </c>
      <c r="B802" s="1" t="s">
        <v>10</v>
      </c>
      <c r="C802" s="1" t="s">
        <v>11</v>
      </c>
      <c r="D802" s="1" t="s">
        <v>105</v>
      </c>
      <c r="E802" s="1">
        <v>1109963</v>
      </c>
      <c r="F802" s="1">
        <v>1349955</v>
      </c>
      <c r="G802" s="1">
        <v>2909903</v>
      </c>
      <c r="H802" s="1">
        <v>329989</v>
      </c>
      <c r="I802" s="1">
        <v>419986</v>
      </c>
    </row>
    <row r="803" spans="1:9" x14ac:dyDescent="0.25">
      <c r="A803" s="2" t="s">
        <v>101</v>
      </c>
      <c r="B803" s="2" t="s">
        <v>10</v>
      </c>
      <c r="C803" s="2" t="s">
        <v>13</v>
      </c>
      <c r="D803" s="2" t="s">
        <v>105</v>
      </c>
      <c r="E803" s="2">
        <v>659358</v>
      </c>
      <c r="F803" s="2">
        <v>879144</v>
      </c>
      <c r="G803" s="2">
        <v>753552</v>
      </c>
      <c r="H803" s="2">
        <v>580863</v>
      </c>
      <c r="I803" s="2">
        <v>1318716</v>
      </c>
    </row>
    <row r="804" spans="1:9" x14ac:dyDescent="0.25">
      <c r="A804" s="1" t="s">
        <v>101</v>
      </c>
      <c r="B804" s="1" t="s">
        <v>10</v>
      </c>
      <c r="C804" s="1" t="s">
        <v>14</v>
      </c>
      <c r="D804" s="1" t="s">
        <v>105</v>
      </c>
      <c r="E804" s="1">
        <v>289200</v>
      </c>
      <c r="F804" s="1">
        <v>983280</v>
      </c>
      <c r="G804" s="1">
        <v>983280</v>
      </c>
      <c r="H804" s="1">
        <v>1359240</v>
      </c>
      <c r="I804" s="1">
        <v>1142340</v>
      </c>
    </row>
    <row r="805" spans="1:9" x14ac:dyDescent="0.25">
      <c r="A805" s="2" t="s">
        <v>101</v>
      </c>
      <c r="B805" s="2" t="s">
        <v>10</v>
      </c>
      <c r="C805" s="2" t="s">
        <v>15</v>
      </c>
      <c r="D805" s="2" t="s">
        <v>105</v>
      </c>
      <c r="E805" s="2">
        <v>594965</v>
      </c>
      <c r="F805" s="2">
        <v>1070937</v>
      </c>
      <c r="G805" s="2">
        <v>373978</v>
      </c>
      <c r="H805" s="2">
        <v>1427916</v>
      </c>
      <c r="I805" s="2">
        <v>254985</v>
      </c>
    </row>
    <row r="806" spans="1:9" x14ac:dyDescent="0.25">
      <c r="A806" s="1" t="s">
        <v>101</v>
      </c>
      <c r="B806" s="1" t="s">
        <v>10</v>
      </c>
      <c r="C806" s="1" t="s">
        <v>16</v>
      </c>
      <c r="D806" s="1" t="s">
        <v>105</v>
      </c>
      <c r="E806" s="1">
        <v>657225</v>
      </c>
      <c r="F806" s="1">
        <v>895350</v>
      </c>
      <c r="G806" s="1">
        <v>228600</v>
      </c>
      <c r="H806" s="1">
        <v>123825</v>
      </c>
      <c r="I806" s="1">
        <v>533400</v>
      </c>
    </row>
    <row r="807" spans="1:9" x14ac:dyDescent="0.25">
      <c r="A807" s="2" t="s">
        <v>101</v>
      </c>
      <c r="B807" s="2" t="s">
        <v>10</v>
      </c>
      <c r="C807" s="2" t="s">
        <v>17</v>
      </c>
      <c r="D807" s="2" t="s">
        <v>105</v>
      </c>
      <c r="E807" s="2">
        <v>786600</v>
      </c>
      <c r="F807" s="2">
        <v>342000</v>
      </c>
      <c r="G807" s="2">
        <v>1521900</v>
      </c>
      <c r="H807" s="2">
        <v>359100</v>
      </c>
      <c r="I807" s="2">
        <v>513000</v>
      </c>
    </row>
    <row r="808" spans="1:9" x14ac:dyDescent="0.25">
      <c r="A808" s="1" t="s">
        <v>101</v>
      </c>
      <c r="B808" s="1" t="s">
        <v>10</v>
      </c>
      <c r="C808" s="1" t="s">
        <v>18</v>
      </c>
      <c r="D808" s="1" t="s">
        <v>105</v>
      </c>
      <c r="E808" s="1">
        <v>857560</v>
      </c>
      <c r="F808" s="1">
        <v>1422770</v>
      </c>
      <c r="G808" s="1">
        <v>1812570</v>
      </c>
      <c r="H808" s="1">
        <v>1013480</v>
      </c>
      <c r="I808" s="1">
        <v>1305830</v>
      </c>
    </row>
    <row r="809" spans="1:9" x14ac:dyDescent="0.25">
      <c r="A809" s="2" t="s">
        <v>101</v>
      </c>
      <c r="B809" s="2" t="s">
        <v>10</v>
      </c>
      <c r="C809" s="2" t="s">
        <v>19</v>
      </c>
      <c r="D809" s="2" t="s">
        <v>105</v>
      </c>
      <c r="E809" s="2">
        <v>2249670</v>
      </c>
      <c r="F809" s="2">
        <v>1306260</v>
      </c>
      <c r="G809" s="2">
        <v>1790060</v>
      </c>
      <c r="H809" s="2">
        <v>2056150</v>
      </c>
      <c r="I809" s="2">
        <v>2298050</v>
      </c>
    </row>
    <row r="810" spans="1:9" x14ac:dyDescent="0.25">
      <c r="A810" s="1" t="s">
        <v>101</v>
      </c>
      <c r="B810" s="1" t="s">
        <v>10</v>
      </c>
      <c r="C810" s="1" t="s">
        <v>20</v>
      </c>
      <c r="D810" s="1" t="s">
        <v>105</v>
      </c>
      <c r="E810" s="1">
        <v>775030</v>
      </c>
      <c r="F810" s="1">
        <v>775030</v>
      </c>
      <c r="G810" s="1">
        <v>455430</v>
      </c>
      <c r="H810" s="1">
        <v>279650</v>
      </c>
      <c r="I810" s="1">
        <v>599250</v>
      </c>
    </row>
    <row r="811" spans="1:9" x14ac:dyDescent="0.25">
      <c r="A811" s="2" t="s">
        <v>101</v>
      </c>
      <c r="B811" s="2" t="s">
        <v>10</v>
      </c>
      <c r="C811" s="2" t="s">
        <v>21</v>
      </c>
      <c r="D811" s="2" t="s">
        <v>105</v>
      </c>
      <c r="E811" s="2">
        <v>309060</v>
      </c>
      <c r="F811" s="2">
        <v>636300</v>
      </c>
      <c r="G811" s="2">
        <v>354510</v>
      </c>
      <c r="H811" s="2">
        <v>172710</v>
      </c>
      <c r="I811" s="2">
        <v>909000</v>
      </c>
    </row>
    <row r="812" spans="1:9" x14ac:dyDescent="0.25">
      <c r="A812" s="1" t="s">
        <v>101</v>
      </c>
      <c r="B812" s="1" t="s">
        <v>22</v>
      </c>
      <c r="C812" s="1" t="s">
        <v>23</v>
      </c>
      <c r="D812" s="1" t="s">
        <v>105</v>
      </c>
      <c r="E812" s="1">
        <v>1628308</v>
      </c>
      <c r="F812" s="1">
        <v>1646007</v>
      </c>
      <c r="G812" s="1">
        <v>1575211</v>
      </c>
      <c r="H812" s="1">
        <v>1486716</v>
      </c>
      <c r="I812" s="1">
        <v>1061940</v>
      </c>
    </row>
    <row r="813" spans="1:9" x14ac:dyDescent="0.25">
      <c r="A813" s="2" t="s">
        <v>101</v>
      </c>
      <c r="B813" s="2" t="s">
        <v>22</v>
      </c>
      <c r="C813" s="2" t="s">
        <v>24</v>
      </c>
      <c r="D813" s="2" t="s">
        <v>105</v>
      </c>
      <c r="E813" s="2">
        <v>741972</v>
      </c>
      <c r="F813" s="2">
        <v>715473</v>
      </c>
      <c r="G813" s="2">
        <v>1828431</v>
      </c>
      <c r="H813" s="2">
        <v>688974</v>
      </c>
      <c r="I813" s="2">
        <v>1139457</v>
      </c>
    </row>
    <row r="814" spans="1:9" x14ac:dyDescent="0.25">
      <c r="A814" s="1" t="s">
        <v>101</v>
      </c>
      <c r="B814" s="1" t="s">
        <v>22</v>
      </c>
      <c r="C814" s="1" t="s">
        <v>25</v>
      </c>
      <c r="D814" s="1" t="s">
        <v>105</v>
      </c>
      <c r="E814" s="1">
        <v>731200</v>
      </c>
      <c r="F814" s="1">
        <v>1224760</v>
      </c>
      <c r="G814" s="1">
        <v>1041960</v>
      </c>
      <c r="H814" s="1">
        <v>859160</v>
      </c>
      <c r="I814" s="1">
        <v>950560</v>
      </c>
    </row>
    <row r="815" spans="1:9" x14ac:dyDescent="0.25">
      <c r="A815" s="2" t="s">
        <v>101</v>
      </c>
      <c r="B815" s="2" t="s">
        <v>22</v>
      </c>
      <c r="C815" s="2" t="s">
        <v>26</v>
      </c>
      <c r="D815" s="2" t="s">
        <v>105</v>
      </c>
      <c r="E815" s="2">
        <v>392700</v>
      </c>
      <c r="F815" s="2">
        <v>271320</v>
      </c>
      <c r="G815" s="2">
        <v>585480</v>
      </c>
      <c r="H815" s="2">
        <v>592620</v>
      </c>
      <c r="I815" s="2">
        <v>492660</v>
      </c>
    </row>
    <row r="816" spans="1:9" x14ac:dyDescent="0.25">
      <c r="A816" s="1" t="s">
        <v>101</v>
      </c>
      <c r="B816" s="1" t="s">
        <v>22</v>
      </c>
      <c r="C816" s="1" t="s">
        <v>27</v>
      </c>
      <c r="D816" s="1" t="s">
        <v>105</v>
      </c>
      <c r="E816" s="1">
        <v>1750650</v>
      </c>
      <c r="F816" s="1">
        <v>732090</v>
      </c>
      <c r="G816" s="1">
        <v>1750650</v>
      </c>
      <c r="H816" s="1">
        <v>2832870</v>
      </c>
      <c r="I816" s="1">
        <v>2896530</v>
      </c>
    </row>
    <row r="817" spans="1:9" x14ac:dyDescent="0.25">
      <c r="A817" s="2" t="s">
        <v>101</v>
      </c>
      <c r="B817" s="2" t="s">
        <v>22</v>
      </c>
      <c r="C817" s="2" t="s">
        <v>28</v>
      </c>
      <c r="D817" s="2" t="s">
        <v>105</v>
      </c>
      <c r="E817" s="2">
        <v>654000</v>
      </c>
      <c r="F817" s="2">
        <v>1765800</v>
      </c>
      <c r="G817" s="2">
        <v>1962000</v>
      </c>
      <c r="H817" s="2">
        <v>3008400</v>
      </c>
      <c r="I817" s="2">
        <v>2681400</v>
      </c>
    </row>
    <row r="818" spans="1:9" x14ac:dyDescent="0.25">
      <c r="A818" s="1" t="s">
        <v>101</v>
      </c>
      <c r="B818" s="1" t="s">
        <v>22</v>
      </c>
      <c r="C818" s="1" t="s">
        <v>29</v>
      </c>
      <c r="D818" s="1" t="s">
        <v>105</v>
      </c>
      <c r="E818" s="1">
        <v>1864550</v>
      </c>
      <c r="F818" s="1">
        <v>209500</v>
      </c>
      <c r="G818" s="1">
        <v>1801700</v>
      </c>
      <c r="H818" s="1">
        <v>628500</v>
      </c>
      <c r="I818" s="1">
        <v>1508400</v>
      </c>
    </row>
    <row r="819" spans="1:9" x14ac:dyDescent="0.25">
      <c r="A819" s="2" t="s">
        <v>101</v>
      </c>
      <c r="B819" s="2" t="s">
        <v>22</v>
      </c>
      <c r="C819" s="2" t="s">
        <v>30</v>
      </c>
      <c r="D819" s="2" t="s">
        <v>105</v>
      </c>
      <c r="E819" s="2">
        <v>439120</v>
      </c>
      <c r="F819" s="2">
        <v>548900</v>
      </c>
      <c r="G819" s="2">
        <v>2063864</v>
      </c>
      <c r="H819" s="2">
        <v>1734524</v>
      </c>
      <c r="I819" s="2">
        <v>1602788</v>
      </c>
    </row>
    <row r="820" spans="1:9" x14ac:dyDescent="0.25">
      <c r="A820" s="1" t="s">
        <v>101</v>
      </c>
      <c r="B820" s="1" t="s">
        <v>22</v>
      </c>
      <c r="C820" s="1" t="s">
        <v>31</v>
      </c>
      <c r="D820" s="1" t="s">
        <v>105</v>
      </c>
      <c r="E820" s="1">
        <v>516810</v>
      </c>
      <c r="F820" s="1">
        <v>621670</v>
      </c>
      <c r="G820" s="1">
        <v>674100</v>
      </c>
      <c r="H820" s="1">
        <v>711550</v>
      </c>
      <c r="I820" s="1">
        <v>89880</v>
      </c>
    </row>
    <row r="821" spans="1:9" x14ac:dyDescent="0.25">
      <c r="A821" s="2" t="s">
        <v>101</v>
      </c>
      <c r="B821" s="2" t="s">
        <v>22</v>
      </c>
      <c r="C821" s="2" t="s">
        <v>32</v>
      </c>
      <c r="D821" s="2" t="s">
        <v>105</v>
      </c>
      <c r="E821" s="2">
        <v>2306250</v>
      </c>
      <c r="F821" s="2">
        <v>1998750</v>
      </c>
      <c r="G821" s="2">
        <v>1906500</v>
      </c>
      <c r="H821" s="2">
        <v>2398500</v>
      </c>
      <c r="I821" s="2">
        <v>1629750</v>
      </c>
    </row>
    <row r="822" spans="1:9" x14ac:dyDescent="0.25">
      <c r="A822" s="1" t="s">
        <v>101</v>
      </c>
      <c r="B822" s="1" t="s">
        <v>33</v>
      </c>
      <c r="C822" s="1" t="s">
        <v>34</v>
      </c>
      <c r="D822" s="1" t="s">
        <v>105</v>
      </c>
      <c r="E822" s="1">
        <v>578100</v>
      </c>
      <c r="F822" s="1">
        <v>713400</v>
      </c>
      <c r="G822" s="1">
        <v>541200</v>
      </c>
      <c r="H822" s="1">
        <v>971700</v>
      </c>
      <c r="I822" s="1">
        <v>479700</v>
      </c>
    </row>
    <row r="823" spans="1:9" x14ac:dyDescent="0.25">
      <c r="A823" s="2" t="s">
        <v>101</v>
      </c>
      <c r="B823" s="2" t="s">
        <v>33</v>
      </c>
      <c r="C823" s="2" t="s">
        <v>35</v>
      </c>
      <c r="D823" s="2" t="s">
        <v>105</v>
      </c>
      <c r="E823" s="2">
        <v>364000</v>
      </c>
      <c r="F823" s="2">
        <v>336000</v>
      </c>
      <c r="G823" s="2">
        <v>1456000</v>
      </c>
      <c r="H823" s="2">
        <v>1288000</v>
      </c>
      <c r="I823" s="2">
        <v>1512000</v>
      </c>
    </row>
    <row r="824" spans="1:9" x14ac:dyDescent="0.25">
      <c r="A824" s="1" t="s">
        <v>101</v>
      </c>
      <c r="B824" s="1" t="s">
        <v>33</v>
      </c>
      <c r="C824" s="1" t="s">
        <v>36</v>
      </c>
      <c r="D824" s="1" t="s">
        <v>105</v>
      </c>
      <c r="E824" s="1">
        <v>1382070</v>
      </c>
      <c r="F824" s="1">
        <v>460690</v>
      </c>
      <c r="G824" s="1">
        <v>240360</v>
      </c>
      <c r="H824" s="1">
        <v>1241860</v>
      </c>
      <c r="I824" s="1">
        <v>981470</v>
      </c>
    </row>
    <row r="825" spans="1:9" x14ac:dyDescent="0.25">
      <c r="A825" s="2" t="s">
        <v>101</v>
      </c>
      <c r="B825" s="2" t="s">
        <v>33</v>
      </c>
      <c r="C825" s="2" t="s">
        <v>37</v>
      </c>
      <c r="D825" s="2" t="s">
        <v>105</v>
      </c>
      <c r="E825" s="2">
        <v>1881000</v>
      </c>
      <c r="F825" s="2">
        <v>495000</v>
      </c>
      <c r="G825" s="2">
        <v>554400</v>
      </c>
      <c r="H825" s="2">
        <v>891000</v>
      </c>
      <c r="I825" s="2">
        <v>1287000</v>
      </c>
    </row>
    <row r="826" spans="1:9" x14ac:dyDescent="0.25">
      <c r="A826" s="1" t="s">
        <v>101</v>
      </c>
      <c r="B826" s="1" t="s">
        <v>33</v>
      </c>
      <c r="C826" s="1" t="s">
        <v>38</v>
      </c>
      <c r="D826" s="1" t="s">
        <v>105</v>
      </c>
      <c r="E826" s="1">
        <v>918000</v>
      </c>
      <c r="F826" s="1">
        <v>576000</v>
      </c>
      <c r="G826" s="1">
        <v>648000</v>
      </c>
      <c r="H826" s="1">
        <v>936000</v>
      </c>
      <c r="I826" s="1">
        <v>414000</v>
      </c>
    </row>
    <row r="827" spans="1:9" x14ac:dyDescent="0.25">
      <c r="A827" s="2" t="s">
        <v>101</v>
      </c>
      <c r="B827" s="2" t="s">
        <v>33</v>
      </c>
      <c r="C827" s="2" t="s">
        <v>39</v>
      </c>
      <c r="D827" s="2" t="s">
        <v>105</v>
      </c>
      <c r="E827" s="2">
        <v>682110</v>
      </c>
      <c r="F827" s="2">
        <v>612150</v>
      </c>
      <c r="G827" s="2">
        <v>769560</v>
      </c>
      <c r="H827" s="2">
        <v>1189320</v>
      </c>
      <c r="I827" s="2">
        <v>489720</v>
      </c>
    </row>
    <row r="828" spans="1:9" x14ac:dyDescent="0.25">
      <c r="A828" s="1" t="s">
        <v>101</v>
      </c>
      <c r="B828" s="1" t="s">
        <v>33</v>
      </c>
      <c r="C828" s="1" t="s">
        <v>40</v>
      </c>
      <c r="D828" s="1" t="s">
        <v>105</v>
      </c>
      <c r="E828" s="1">
        <v>805620</v>
      </c>
      <c r="F828" s="1">
        <v>583380</v>
      </c>
      <c r="G828" s="1">
        <v>1000080</v>
      </c>
      <c r="H828" s="1">
        <v>138900</v>
      </c>
      <c r="I828" s="1">
        <v>833400</v>
      </c>
    </row>
    <row r="829" spans="1:9" x14ac:dyDescent="0.25">
      <c r="A829" s="2" t="s">
        <v>101</v>
      </c>
      <c r="B829" s="2" t="s">
        <v>33</v>
      </c>
      <c r="C829" s="2" t="s">
        <v>41</v>
      </c>
      <c r="D829" s="2" t="s">
        <v>105</v>
      </c>
      <c r="E829" s="2">
        <v>931660</v>
      </c>
      <c r="F829" s="2">
        <v>642090</v>
      </c>
      <c r="G829" s="2">
        <v>793170</v>
      </c>
      <c r="H829" s="2">
        <v>566550</v>
      </c>
      <c r="I829" s="2">
        <v>1158280</v>
      </c>
    </row>
    <row r="830" spans="1:9" x14ac:dyDescent="0.25">
      <c r="A830" s="1" t="s">
        <v>101</v>
      </c>
      <c r="B830" s="1" t="s">
        <v>33</v>
      </c>
      <c r="C830" s="1" t="s">
        <v>42</v>
      </c>
      <c r="D830" s="1" t="s">
        <v>105</v>
      </c>
      <c r="E830" s="1">
        <v>273800</v>
      </c>
      <c r="F830" s="1">
        <v>130055</v>
      </c>
      <c r="G830" s="1">
        <v>527065</v>
      </c>
      <c r="H830" s="1">
        <v>643430</v>
      </c>
      <c r="I830" s="1">
        <v>383320</v>
      </c>
    </row>
    <row r="831" spans="1:9" x14ac:dyDescent="0.25">
      <c r="A831" s="2" t="s">
        <v>101</v>
      </c>
      <c r="B831" s="2" t="s">
        <v>33</v>
      </c>
      <c r="C831" s="2" t="s">
        <v>43</v>
      </c>
      <c r="D831" s="2" t="s">
        <v>105</v>
      </c>
      <c r="E831" s="2">
        <v>720000</v>
      </c>
      <c r="F831" s="2">
        <v>577500</v>
      </c>
      <c r="G831" s="2">
        <v>465000</v>
      </c>
      <c r="H831" s="2">
        <v>285000</v>
      </c>
      <c r="I831" s="2">
        <v>660000</v>
      </c>
    </row>
    <row r="832" spans="1:9" x14ac:dyDescent="0.25">
      <c r="A832" s="1" t="s">
        <v>101</v>
      </c>
      <c r="B832" s="1" t="s">
        <v>44</v>
      </c>
      <c r="C832" s="1" t="s">
        <v>45</v>
      </c>
      <c r="D832" s="1" t="s">
        <v>105</v>
      </c>
      <c r="E832" s="1">
        <v>655310</v>
      </c>
      <c r="F832" s="1">
        <v>2414300</v>
      </c>
      <c r="G832" s="1">
        <v>1758990</v>
      </c>
      <c r="H832" s="1">
        <v>1793480</v>
      </c>
      <c r="I832" s="1">
        <v>2552260</v>
      </c>
    </row>
    <row r="833" spans="1:9" x14ac:dyDescent="0.25">
      <c r="A833" s="2" t="s">
        <v>101</v>
      </c>
      <c r="B833" s="2" t="s">
        <v>44</v>
      </c>
      <c r="C833" s="2" t="s">
        <v>46</v>
      </c>
      <c r="D833" s="2" t="s">
        <v>105</v>
      </c>
      <c r="E833" s="2">
        <v>2439300</v>
      </c>
      <c r="F833" s="2">
        <v>1712700</v>
      </c>
      <c r="G833" s="2">
        <v>2413350</v>
      </c>
      <c r="H833" s="2">
        <v>648750</v>
      </c>
      <c r="I833" s="2">
        <v>1946250</v>
      </c>
    </row>
    <row r="834" spans="1:9" x14ac:dyDescent="0.25">
      <c r="A834" s="1" t="s">
        <v>101</v>
      </c>
      <c r="B834" s="1" t="s">
        <v>44</v>
      </c>
      <c r="C834" s="1" t="s">
        <v>47</v>
      </c>
      <c r="D834" s="1" t="s">
        <v>105</v>
      </c>
      <c r="E834" s="1">
        <v>1175510</v>
      </c>
      <c r="F834" s="1">
        <v>1247480</v>
      </c>
      <c r="G834" s="1">
        <v>1655310</v>
      </c>
      <c r="H834" s="1">
        <v>1631320</v>
      </c>
      <c r="I834" s="1">
        <v>527780</v>
      </c>
    </row>
    <row r="835" spans="1:9" x14ac:dyDescent="0.25">
      <c r="A835" s="2" t="s">
        <v>101</v>
      </c>
      <c r="B835" s="2" t="s">
        <v>44</v>
      </c>
      <c r="C835" s="2" t="s">
        <v>48</v>
      </c>
      <c r="D835" s="2" t="s">
        <v>105</v>
      </c>
      <c r="E835" s="2">
        <v>1011908</v>
      </c>
      <c r="F835" s="2">
        <v>241978</v>
      </c>
      <c r="G835" s="2">
        <v>142987</v>
      </c>
      <c r="H835" s="2">
        <v>1000909</v>
      </c>
      <c r="I835" s="2">
        <v>923916</v>
      </c>
    </row>
    <row r="836" spans="1:9" x14ac:dyDescent="0.25">
      <c r="A836" s="1" t="s">
        <v>101</v>
      </c>
      <c r="B836" s="1" t="s">
        <v>44</v>
      </c>
      <c r="C836" s="1" t="s">
        <v>49</v>
      </c>
      <c r="D836" s="1" t="s">
        <v>105</v>
      </c>
      <c r="E836" s="1">
        <v>3150000</v>
      </c>
      <c r="F836" s="1">
        <v>3150000</v>
      </c>
      <c r="G836" s="1">
        <v>1085000</v>
      </c>
      <c r="H836" s="1">
        <v>2870000</v>
      </c>
      <c r="I836" s="1">
        <v>2905000</v>
      </c>
    </row>
    <row r="837" spans="1:9" x14ac:dyDescent="0.25">
      <c r="A837" s="2" t="s">
        <v>101</v>
      </c>
      <c r="B837" s="2" t="s">
        <v>44</v>
      </c>
      <c r="C837" s="2" t="s">
        <v>50</v>
      </c>
      <c r="D837" s="2" t="s">
        <v>105</v>
      </c>
      <c r="E837" s="2">
        <v>387469</v>
      </c>
      <c r="F837" s="2">
        <v>262479</v>
      </c>
      <c r="G837" s="2">
        <v>237481</v>
      </c>
      <c r="H837" s="2">
        <v>737441</v>
      </c>
      <c r="I837" s="2">
        <v>1137409</v>
      </c>
    </row>
    <row r="838" spans="1:9" x14ac:dyDescent="0.25">
      <c r="A838" s="1" t="s">
        <v>101</v>
      </c>
      <c r="B838" s="1" t="s">
        <v>44</v>
      </c>
      <c r="C838" s="1" t="s">
        <v>51</v>
      </c>
      <c r="D838" s="1" t="s">
        <v>105</v>
      </c>
      <c r="E838" s="1">
        <v>1272800</v>
      </c>
      <c r="F838" s="1">
        <v>710400</v>
      </c>
      <c r="G838" s="1">
        <v>1006400</v>
      </c>
      <c r="H838" s="1">
        <v>2456800</v>
      </c>
      <c r="I838" s="1">
        <v>1539200</v>
      </c>
    </row>
    <row r="839" spans="1:9" x14ac:dyDescent="0.25">
      <c r="A839" s="2" t="s">
        <v>101</v>
      </c>
      <c r="B839" s="2" t="s">
        <v>44</v>
      </c>
      <c r="C839" s="2" t="s">
        <v>52</v>
      </c>
      <c r="D839" s="2" t="s">
        <v>105</v>
      </c>
      <c r="E839" s="2">
        <v>221000</v>
      </c>
      <c r="F839" s="2">
        <v>1274000</v>
      </c>
      <c r="G839" s="2">
        <v>468000</v>
      </c>
      <c r="H839" s="2">
        <v>156000</v>
      </c>
      <c r="I839" s="2">
        <v>299000</v>
      </c>
    </row>
    <row r="840" spans="1:9" x14ac:dyDescent="0.25">
      <c r="A840" s="1" t="s">
        <v>101</v>
      </c>
      <c r="B840" s="1" t="s">
        <v>44</v>
      </c>
      <c r="C840" s="1" t="s">
        <v>53</v>
      </c>
      <c r="D840" s="1" t="s">
        <v>105</v>
      </c>
      <c r="E840" s="1">
        <v>1230880</v>
      </c>
      <c r="F840" s="1">
        <v>1858880</v>
      </c>
      <c r="G840" s="1">
        <v>1532320</v>
      </c>
      <c r="H840" s="1">
        <v>1004800</v>
      </c>
      <c r="I840" s="1">
        <v>1256000</v>
      </c>
    </row>
    <row r="841" spans="1:9" x14ac:dyDescent="0.25">
      <c r="A841" s="2" t="s">
        <v>101</v>
      </c>
      <c r="B841" s="2" t="s">
        <v>44</v>
      </c>
      <c r="C841" s="2" t="s">
        <v>54</v>
      </c>
      <c r="D841" s="2" t="s">
        <v>105</v>
      </c>
      <c r="E841" s="2">
        <v>1453833</v>
      </c>
      <c r="F841" s="2">
        <v>1236843</v>
      </c>
      <c r="G841" s="2">
        <v>694368</v>
      </c>
      <c r="H841" s="2">
        <v>1345338</v>
      </c>
      <c r="I841" s="2">
        <v>1410435</v>
      </c>
    </row>
    <row r="842" spans="1:9" x14ac:dyDescent="0.25">
      <c r="A842" s="1" t="s">
        <v>101</v>
      </c>
      <c r="B842" s="1" t="s">
        <v>55</v>
      </c>
      <c r="C842" s="1" t="s">
        <v>56</v>
      </c>
      <c r="D842" s="1" t="s">
        <v>105</v>
      </c>
      <c r="E842" s="1">
        <v>1461140</v>
      </c>
      <c r="F842" s="1">
        <v>458730</v>
      </c>
      <c r="G842" s="1">
        <v>781540</v>
      </c>
      <c r="H842" s="1">
        <v>917460</v>
      </c>
      <c r="I842" s="1">
        <v>696590</v>
      </c>
    </row>
    <row r="843" spans="1:9" x14ac:dyDescent="0.25">
      <c r="A843" s="2" t="s">
        <v>101</v>
      </c>
      <c r="B843" s="2" t="s">
        <v>55</v>
      </c>
      <c r="C843" s="2" t="s">
        <v>57</v>
      </c>
      <c r="D843" s="2" t="s">
        <v>105</v>
      </c>
      <c r="E843" s="2">
        <v>860918</v>
      </c>
      <c r="F843" s="2">
        <v>755928</v>
      </c>
      <c r="G843" s="2">
        <v>566946</v>
      </c>
      <c r="H843" s="2">
        <v>871417</v>
      </c>
      <c r="I843" s="2">
        <v>482954</v>
      </c>
    </row>
    <row r="844" spans="1:9" x14ac:dyDescent="0.25">
      <c r="A844" s="1" t="s">
        <v>101</v>
      </c>
      <c r="B844" s="1" t="s">
        <v>55</v>
      </c>
      <c r="C844" s="1" t="s">
        <v>58</v>
      </c>
      <c r="D844" s="1" t="s">
        <v>105</v>
      </c>
      <c r="E844" s="1">
        <v>1087200</v>
      </c>
      <c r="F844" s="1">
        <v>1721400</v>
      </c>
      <c r="G844" s="1">
        <v>2083800</v>
      </c>
      <c r="H844" s="1">
        <v>1902600</v>
      </c>
      <c r="I844" s="1">
        <v>2567000</v>
      </c>
    </row>
    <row r="845" spans="1:9" x14ac:dyDescent="0.25">
      <c r="A845" s="2" t="s">
        <v>101</v>
      </c>
      <c r="B845" s="2" t="s">
        <v>55</v>
      </c>
      <c r="C845" s="2" t="s">
        <v>59</v>
      </c>
      <c r="D845" s="2" t="s">
        <v>105</v>
      </c>
      <c r="E845" s="2">
        <v>819918</v>
      </c>
      <c r="F845" s="2">
        <v>729927</v>
      </c>
      <c r="G845" s="2">
        <v>989901</v>
      </c>
      <c r="H845" s="2">
        <v>599940</v>
      </c>
      <c r="I845" s="2">
        <v>109989</v>
      </c>
    </row>
    <row r="846" spans="1:9" x14ac:dyDescent="0.25">
      <c r="A846" s="1" t="s">
        <v>101</v>
      </c>
      <c r="B846" s="1" t="s">
        <v>55</v>
      </c>
      <c r="C846" s="1" t="s">
        <v>60</v>
      </c>
      <c r="D846" s="1" t="s">
        <v>105</v>
      </c>
      <c r="E846" s="1">
        <v>259173</v>
      </c>
      <c r="F846" s="1">
        <v>844712</v>
      </c>
      <c r="G846" s="1">
        <v>230376</v>
      </c>
      <c r="H846" s="1">
        <v>681529</v>
      </c>
      <c r="I846" s="1">
        <v>863910</v>
      </c>
    </row>
    <row r="847" spans="1:9" x14ac:dyDescent="0.25">
      <c r="A847" s="2" t="s">
        <v>101</v>
      </c>
      <c r="B847" s="2" t="s">
        <v>55</v>
      </c>
      <c r="C847" s="2" t="s">
        <v>61</v>
      </c>
      <c r="D847" s="2" t="s">
        <v>105</v>
      </c>
      <c r="E847" s="2">
        <v>1842903</v>
      </c>
      <c r="F847" s="2">
        <v>1595916</v>
      </c>
      <c r="G847" s="2">
        <v>569970</v>
      </c>
      <c r="H847" s="2">
        <v>1139940</v>
      </c>
      <c r="I847" s="2">
        <v>1158939</v>
      </c>
    </row>
    <row r="848" spans="1:9" x14ac:dyDescent="0.25">
      <c r="A848" s="1" t="s">
        <v>101</v>
      </c>
      <c r="B848" s="1" t="s">
        <v>55</v>
      </c>
      <c r="C848" s="1" t="s">
        <v>62</v>
      </c>
      <c r="D848" s="1" t="s">
        <v>105</v>
      </c>
      <c r="E848" s="1">
        <v>1139943</v>
      </c>
      <c r="F848" s="1">
        <v>1999900</v>
      </c>
      <c r="G848" s="1">
        <v>759962</v>
      </c>
      <c r="H848" s="1">
        <v>1679916</v>
      </c>
      <c r="I848" s="1">
        <v>1219939</v>
      </c>
    </row>
    <row r="849" spans="1:9" x14ac:dyDescent="0.25">
      <c r="A849" s="2" t="s">
        <v>101</v>
      </c>
      <c r="B849" s="2" t="s">
        <v>55</v>
      </c>
      <c r="C849" s="2" t="s">
        <v>63</v>
      </c>
      <c r="D849" s="2" t="s">
        <v>105</v>
      </c>
      <c r="E849" s="2">
        <v>939000</v>
      </c>
      <c r="F849" s="2">
        <v>694860</v>
      </c>
      <c r="G849" s="2">
        <v>366210</v>
      </c>
      <c r="H849" s="2">
        <v>873270</v>
      </c>
      <c r="I849" s="2">
        <v>488280</v>
      </c>
    </row>
    <row r="850" spans="1:9" x14ac:dyDescent="0.25">
      <c r="A850" s="1" t="s">
        <v>101</v>
      </c>
      <c r="B850" s="1" t="s">
        <v>55</v>
      </c>
      <c r="C850" s="1" t="s">
        <v>64</v>
      </c>
      <c r="D850" s="1" t="s">
        <v>105</v>
      </c>
      <c r="E850" s="1">
        <v>1890000</v>
      </c>
      <c r="F850" s="1">
        <v>1050000</v>
      </c>
      <c r="G850" s="1">
        <v>1932000</v>
      </c>
      <c r="H850" s="1">
        <v>1008000</v>
      </c>
      <c r="I850" s="1">
        <v>819000</v>
      </c>
    </row>
    <row r="851" spans="1:9" x14ac:dyDescent="0.25">
      <c r="A851" s="2" t="s">
        <v>101</v>
      </c>
      <c r="B851" s="2" t="s">
        <v>55</v>
      </c>
      <c r="C851" s="2" t="s">
        <v>65</v>
      </c>
      <c r="D851" s="2" t="s">
        <v>105</v>
      </c>
      <c r="E851" s="2">
        <v>1075000</v>
      </c>
      <c r="F851" s="2">
        <v>2025000</v>
      </c>
      <c r="G851" s="2">
        <v>2025000</v>
      </c>
      <c r="H851" s="2">
        <v>2500000</v>
      </c>
      <c r="I851" s="2">
        <v>425000</v>
      </c>
    </row>
    <row r="852" spans="1:9" x14ac:dyDescent="0.25">
      <c r="A852" s="1" t="s">
        <v>101</v>
      </c>
      <c r="B852" s="1" t="s">
        <v>66</v>
      </c>
      <c r="C852" s="1" t="s">
        <v>67</v>
      </c>
      <c r="D852" s="1" t="s">
        <v>105</v>
      </c>
      <c r="E852" s="1">
        <v>1279960</v>
      </c>
      <c r="F852" s="1">
        <v>2623918</v>
      </c>
      <c r="G852" s="1">
        <v>1279960</v>
      </c>
      <c r="H852" s="1">
        <v>511984</v>
      </c>
      <c r="I852" s="1">
        <v>2783913</v>
      </c>
    </row>
    <row r="853" spans="1:9" x14ac:dyDescent="0.25">
      <c r="A853" s="2" t="s">
        <v>101</v>
      </c>
      <c r="B853" s="2" t="s">
        <v>66</v>
      </c>
      <c r="C853" s="2" t="s">
        <v>68</v>
      </c>
      <c r="D853" s="2" t="s">
        <v>105</v>
      </c>
      <c r="E853" s="2">
        <v>1169299</v>
      </c>
      <c r="F853" s="2">
        <v>691698</v>
      </c>
      <c r="G853" s="2">
        <v>1465741</v>
      </c>
      <c r="H853" s="2">
        <v>1449272</v>
      </c>
      <c r="I853" s="2">
        <v>1152830</v>
      </c>
    </row>
    <row r="854" spans="1:9" x14ac:dyDescent="0.25">
      <c r="A854" s="1" t="s">
        <v>101</v>
      </c>
      <c r="B854" s="1" t="s">
        <v>66</v>
      </c>
      <c r="C854" s="1" t="s">
        <v>69</v>
      </c>
      <c r="D854" s="1" t="s">
        <v>105</v>
      </c>
      <c r="E854" s="1">
        <v>1142369</v>
      </c>
      <c r="F854" s="1">
        <v>777282</v>
      </c>
      <c r="G854" s="1">
        <v>577073</v>
      </c>
      <c r="H854" s="1">
        <v>400418</v>
      </c>
      <c r="I854" s="1">
        <v>671289</v>
      </c>
    </row>
    <row r="855" spans="1:9" x14ac:dyDescent="0.25">
      <c r="A855" s="2" t="s">
        <v>101</v>
      </c>
      <c r="B855" s="2" t="s">
        <v>66</v>
      </c>
      <c r="C855" s="2" t="s">
        <v>70</v>
      </c>
      <c r="D855" s="2" t="s">
        <v>105</v>
      </c>
      <c r="E855" s="2">
        <v>355033</v>
      </c>
      <c r="F855" s="2">
        <v>174867</v>
      </c>
      <c r="G855" s="2">
        <v>74186</v>
      </c>
      <c r="H855" s="2">
        <v>296744</v>
      </c>
      <c r="I855" s="2">
        <v>397425</v>
      </c>
    </row>
    <row r="856" spans="1:9" x14ac:dyDescent="0.25">
      <c r="A856" s="1" t="s">
        <v>101</v>
      </c>
      <c r="B856" s="1" t="s">
        <v>66</v>
      </c>
      <c r="C856" s="1" t="s">
        <v>71</v>
      </c>
      <c r="D856" s="1" t="s">
        <v>105</v>
      </c>
      <c r="E856" s="1">
        <v>293700</v>
      </c>
      <c r="F856" s="1">
        <v>551800</v>
      </c>
      <c r="G856" s="1">
        <v>729800</v>
      </c>
      <c r="H856" s="1">
        <v>329300</v>
      </c>
      <c r="I856" s="1">
        <v>525100</v>
      </c>
    </row>
    <row r="857" spans="1:9" x14ac:dyDescent="0.25">
      <c r="A857" s="2" t="s">
        <v>101</v>
      </c>
      <c r="B857" s="2" t="s">
        <v>66</v>
      </c>
      <c r="C857" s="2" t="s">
        <v>72</v>
      </c>
      <c r="D857" s="2" t="s">
        <v>105</v>
      </c>
      <c r="E857" s="2">
        <v>1384088</v>
      </c>
      <c r="F857" s="2">
        <v>491128</v>
      </c>
      <c r="G857" s="2">
        <v>2120780</v>
      </c>
      <c r="H857" s="2">
        <v>312536</v>
      </c>
      <c r="I857" s="2">
        <v>1585004</v>
      </c>
    </row>
    <row r="858" spans="1:9" x14ac:dyDescent="0.25">
      <c r="A858" s="1" t="s">
        <v>101</v>
      </c>
      <c r="B858" s="1" t="s">
        <v>66</v>
      </c>
      <c r="C858" s="1" t="s">
        <v>73</v>
      </c>
      <c r="D858" s="1" t="s">
        <v>105</v>
      </c>
      <c r="E858" s="1">
        <v>1247520</v>
      </c>
      <c r="F858" s="1">
        <v>1247520</v>
      </c>
      <c r="G858" s="1">
        <v>2235140</v>
      </c>
      <c r="H858" s="1">
        <v>649750</v>
      </c>
      <c r="I858" s="1">
        <v>961630</v>
      </c>
    </row>
    <row r="859" spans="1:9" x14ac:dyDescent="0.25">
      <c r="A859" s="2" t="s">
        <v>101</v>
      </c>
      <c r="B859" s="2" t="s">
        <v>66</v>
      </c>
      <c r="C859" s="2" t="s">
        <v>74</v>
      </c>
      <c r="D859" s="2" t="s">
        <v>105</v>
      </c>
      <c r="E859" s="2">
        <v>300000</v>
      </c>
      <c r="F859" s="2">
        <v>1920000</v>
      </c>
      <c r="G859" s="2">
        <v>340000</v>
      </c>
      <c r="H859" s="2">
        <v>1340000</v>
      </c>
      <c r="I859" s="2">
        <v>1080000</v>
      </c>
    </row>
    <row r="860" spans="1:9" x14ac:dyDescent="0.25">
      <c r="A860" s="1" t="s">
        <v>101</v>
      </c>
      <c r="B860" s="1" t="s">
        <v>66</v>
      </c>
      <c r="C860" s="1" t="s">
        <v>75</v>
      </c>
      <c r="D860" s="1" t="s">
        <v>105</v>
      </c>
      <c r="E860" s="1">
        <v>1596000</v>
      </c>
      <c r="F860" s="1">
        <v>966000</v>
      </c>
      <c r="G860" s="1">
        <v>420000</v>
      </c>
      <c r="H860" s="1">
        <v>357000</v>
      </c>
      <c r="I860" s="1">
        <v>672000</v>
      </c>
    </row>
    <row r="861" spans="1:9" x14ac:dyDescent="0.25">
      <c r="A861" s="2" t="s">
        <v>101</v>
      </c>
      <c r="B861" s="2" t="s">
        <v>66</v>
      </c>
      <c r="C861" s="2" t="s">
        <v>76</v>
      </c>
      <c r="D861" s="2" t="s">
        <v>105</v>
      </c>
      <c r="E861" s="2">
        <v>418000</v>
      </c>
      <c r="F861" s="2">
        <v>1914000</v>
      </c>
      <c r="G861" s="2">
        <v>1804000</v>
      </c>
      <c r="H861" s="2">
        <v>1738000</v>
      </c>
      <c r="I861" s="2">
        <v>990000</v>
      </c>
    </row>
    <row r="862" spans="1:9" x14ac:dyDescent="0.25">
      <c r="A862" s="1" t="s">
        <v>101</v>
      </c>
      <c r="B862" s="1" t="s">
        <v>77</v>
      </c>
      <c r="C862" s="1" t="s">
        <v>78</v>
      </c>
      <c r="D862" s="1" t="s">
        <v>105</v>
      </c>
      <c r="E862" s="1">
        <v>793500</v>
      </c>
      <c r="F862" s="1">
        <v>1983750</v>
      </c>
      <c r="G862" s="1">
        <v>1957300</v>
      </c>
      <c r="H862" s="1">
        <v>1507650</v>
      </c>
      <c r="I862" s="1">
        <v>1957300</v>
      </c>
    </row>
    <row r="863" spans="1:9" x14ac:dyDescent="0.25">
      <c r="A863" s="2" t="s">
        <v>101</v>
      </c>
      <c r="B863" s="2" t="s">
        <v>77</v>
      </c>
      <c r="C863" s="2" t="s">
        <v>79</v>
      </c>
      <c r="D863" s="2" t="s">
        <v>105</v>
      </c>
      <c r="E863" s="2">
        <v>863148</v>
      </c>
      <c r="F863" s="2">
        <v>1726296</v>
      </c>
      <c r="G863" s="2">
        <v>1863615</v>
      </c>
      <c r="H863" s="2">
        <v>1902849</v>
      </c>
      <c r="I863" s="2">
        <v>1353573</v>
      </c>
    </row>
    <row r="864" spans="1:9" x14ac:dyDescent="0.25">
      <c r="A864" s="1" t="s">
        <v>101</v>
      </c>
      <c r="B864" s="1" t="s">
        <v>77</v>
      </c>
      <c r="C864" s="1" t="s">
        <v>80</v>
      </c>
      <c r="D864" s="1" t="s">
        <v>105</v>
      </c>
      <c r="E864" s="1">
        <v>2209130</v>
      </c>
      <c r="F864" s="1">
        <v>1491880</v>
      </c>
      <c r="G864" s="1">
        <v>2237820</v>
      </c>
      <c r="H864" s="1">
        <v>1032840</v>
      </c>
      <c r="I864" s="1">
        <v>1778780</v>
      </c>
    </row>
    <row r="865" spans="1:9" x14ac:dyDescent="0.25">
      <c r="A865" s="2" t="s">
        <v>101</v>
      </c>
      <c r="B865" s="2" t="s">
        <v>77</v>
      </c>
      <c r="C865" s="2" t="s">
        <v>81</v>
      </c>
      <c r="D865" s="2" t="s">
        <v>105</v>
      </c>
      <c r="E865" s="2">
        <v>588690</v>
      </c>
      <c r="F865" s="2">
        <v>1329300</v>
      </c>
      <c r="G865" s="2">
        <v>759600</v>
      </c>
      <c r="H865" s="2">
        <v>1158390</v>
      </c>
      <c r="I865" s="2">
        <v>208890</v>
      </c>
    </row>
    <row r="866" spans="1:9" x14ac:dyDescent="0.25">
      <c r="A866" s="1" t="s">
        <v>101</v>
      </c>
      <c r="B866" s="1" t="s">
        <v>77</v>
      </c>
      <c r="C866" s="1" t="s">
        <v>82</v>
      </c>
      <c r="D866" s="1" t="s">
        <v>105</v>
      </c>
      <c r="E866" s="1">
        <v>374520</v>
      </c>
      <c r="F866" s="1">
        <v>2496800</v>
      </c>
      <c r="G866" s="1">
        <v>2434380</v>
      </c>
      <c r="H866" s="1">
        <v>873880</v>
      </c>
      <c r="I866" s="1">
        <v>1342030</v>
      </c>
    </row>
    <row r="867" spans="1:9" x14ac:dyDescent="0.25">
      <c r="A867" s="2" t="s">
        <v>101</v>
      </c>
      <c r="B867" s="2" t="s">
        <v>77</v>
      </c>
      <c r="C867" s="2" t="s">
        <v>83</v>
      </c>
      <c r="D867" s="2" t="s">
        <v>105</v>
      </c>
      <c r="E867" s="2">
        <v>1301040</v>
      </c>
      <c r="F867" s="2">
        <v>1634640</v>
      </c>
      <c r="G867" s="2">
        <v>3202560</v>
      </c>
      <c r="H867" s="2">
        <v>2435280</v>
      </c>
      <c r="I867" s="2">
        <v>967440</v>
      </c>
    </row>
    <row r="868" spans="1:9" x14ac:dyDescent="0.25">
      <c r="A868" s="1" t="s">
        <v>101</v>
      </c>
      <c r="B868" s="1" t="s">
        <v>77</v>
      </c>
      <c r="C868" s="1" t="s">
        <v>84</v>
      </c>
      <c r="D868" s="1" t="s">
        <v>105</v>
      </c>
      <c r="E868" s="1">
        <v>1299935</v>
      </c>
      <c r="F868" s="1">
        <v>1819909</v>
      </c>
      <c r="G868" s="1">
        <v>1039948</v>
      </c>
      <c r="H868" s="1">
        <v>379981</v>
      </c>
      <c r="I868" s="1">
        <v>1419929</v>
      </c>
    </row>
    <row r="869" spans="1:9" x14ac:dyDescent="0.25">
      <c r="A869" s="2" t="s">
        <v>101</v>
      </c>
      <c r="B869" s="2" t="s">
        <v>77</v>
      </c>
      <c r="C869" s="2" t="s">
        <v>85</v>
      </c>
      <c r="D869" s="2" t="s">
        <v>105</v>
      </c>
      <c r="E869" s="2">
        <v>1623800</v>
      </c>
      <c r="F869" s="2">
        <v>264750</v>
      </c>
      <c r="G869" s="2">
        <v>1517900</v>
      </c>
      <c r="H869" s="2">
        <v>970750</v>
      </c>
      <c r="I869" s="2">
        <v>847200</v>
      </c>
    </row>
    <row r="870" spans="1:9" x14ac:dyDescent="0.25">
      <c r="A870" s="1" t="s">
        <v>101</v>
      </c>
      <c r="B870" s="1" t="s">
        <v>77</v>
      </c>
      <c r="C870" s="1" t="s">
        <v>86</v>
      </c>
      <c r="D870" s="1" t="s">
        <v>105</v>
      </c>
      <c r="E870" s="1">
        <v>1094400</v>
      </c>
      <c r="F870" s="1">
        <v>1459200</v>
      </c>
      <c r="G870" s="1">
        <v>486400</v>
      </c>
      <c r="H870" s="1">
        <v>1170400</v>
      </c>
      <c r="I870" s="1">
        <v>760000</v>
      </c>
    </row>
    <row r="871" spans="1:9" x14ac:dyDescent="0.25">
      <c r="A871" s="2" t="s">
        <v>101</v>
      </c>
      <c r="B871" s="2" t="s">
        <v>77</v>
      </c>
      <c r="C871" s="2" t="s">
        <v>87</v>
      </c>
      <c r="D871" s="2" t="s">
        <v>105</v>
      </c>
      <c r="E871" s="2">
        <v>252450</v>
      </c>
      <c r="F871" s="2">
        <v>1262250</v>
      </c>
      <c r="G871" s="2">
        <v>849150</v>
      </c>
      <c r="H871" s="2">
        <v>275400</v>
      </c>
      <c r="I871" s="2">
        <v>527850</v>
      </c>
    </row>
    <row r="872" spans="1:9" x14ac:dyDescent="0.25">
      <c r="A872" s="1" t="s">
        <v>101</v>
      </c>
      <c r="B872" s="1" t="s">
        <v>88</v>
      </c>
      <c r="C872" s="1" t="s">
        <v>89</v>
      </c>
      <c r="D872" s="1" t="s">
        <v>105</v>
      </c>
      <c r="E872" s="1">
        <v>4772500</v>
      </c>
      <c r="F872" s="1">
        <v>2012500</v>
      </c>
      <c r="G872" s="1">
        <v>1322500</v>
      </c>
      <c r="H872" s="1">
        <v>5117500</v>
      </c>
      <c r="I872" s="1">
        <v>4427500</v>
      </c>
    </row>
    <row r="873" spans="1:9" x14ac:dyDescent="0.25">
      <c r="A873" s="2" t="s">
        <v>101</v>
      </c>
      <c r="B873" s="2" t="s">
        <v>88</v>
      </c>
      <c r="C873" s="2" t="s">
        <v>90</v>
      </c>
      <c r="D873" s="2" t="s">
        <v>105</v>
      </c>
      <c r="E873" s="2">
        <v>1883300</v>
      </c>
      <c r="F873" s="2">
        <v>1781500</v>
      </c>
      <c r="G873" s="2">
        <v>3512100</v>
      </c>
      <c r="H873" s="2">
        <v>4173800</v>
      </c>
      <c r="I873" s="2">
        <v>3410300</v>
      </c>
    </row>
    <row r="874" spans="1:9" x14ac:dyDescent="0.25">
      <c r="A874" s="1" t="s">
        <v>101</v>
      </c>
      <c r="B874" s="1" t="s">
        <v>88</v>
      </c>
      <c r="C874" s="1" t="s">
        <v>91</v>
      </c>
      <c r="D874" s="1" t="s">
        <v>105</v>
      </c>
      <c r="E874" s="1">
        <v>1424000</v>
      </c>
      <c r="F874" s="1">
        <v>2403000</v>
      </c>
      <c r="G874" s="1">
        <v>2625500</v>
      </c>
      <c r="H874" s="1">
        <v>1602000</v>
      </c>
      <c r="I874" s="1">
        <v>2269500</v>
      </c>
    </row>
    <row r="875" spans="1:9" x14ac:dyDescent="0.25">
      <c r="A875" s="2" t="s">
        <v>101</v>
      </c>
      <c r="B875" s="2" t="s">
        <v>88</v>
      </c>
      <c r="C875" s="2" t="s">
        <v>92</v>
      </c>
      <c r="D875" s="2" t="s">
        <v>105</v>
      </c>
      <c r="E875" s="2">
        <v>3221500</v>
      </c>
      <c r="F875" s="2">
        <v>1516000</v>
      </c>
      <c r="G875" s="2">
        <v>644300</v>
      </c>
      <c r="H875" s="2">
        <v>2160300</v>
      </c>
      <c r="I875" s="2">
        <v>2084500</v>
      </c>
    </row>
    <row r="876" spans="1:9" x14ac:dyDescent="0.25">
      <c r="A876" s="1" t="s">
        <v>101</v>
      </c>
      <c r="B876" s="1" t="s">
        <v>88</v>
      </c>
      <c r="C876" s="1" t="s">
        <v>93</v>
      </c>
      <c r="D876" s="1" t="s">
        <v>105</v>
      </c>
      <c r="E876" s="1">
        <v>1032500</v>
      </c>
      <c r="F876" s="1">
        <v>2802500</v>
      </c>
      <c r="G876" s="1">
        <v>2832000</v>
      </c>
      <c r="H876" s="1">
        <v>885000</v>
      </c>
      <c r="I876" s="1">
        <v>1239000</v>
      </c>
    </row>
    <row r="877" spans="1:9" x14ac:dyDescent="0.25">
      <c r="A877" s="2" t="s">
        <v>101</v>
      </c>
      <c r="B877" s="2" t="s">
        <v>88</v>
      </c>
      <c r="C877" s="2" t="s">
        <v>94</v>
      </c>
      <c r="D877" s="2" t="s">
        <v>105</v>
      </c>
      <c r="E877" s="2">
        <v>1690500</v>
      </c>
      <c r="F877" s="2">
        <v>2794500</v>
      </c>
      <c r="G877" s="2">
        <v>828000</v>
      </c>
      <c r="H877" s="2">
        <v>3174000</v>
      </c>
      <c r="I877" s="2">
        <v>1621500</v>
      </c>
    </row>
    <row r="878" spans="1:9" x14ac:dyDescent="0.25">
      <c r="A878" s="1" t="s">
        <v>101</v>
      </c>
      <c r="B878" s="1" t="s">
        <v>88</v>
      </c>
      <c r="C878" s="1" t="s">
        <v>95</v>
      </c>
      <c r="D878" s="1" t="s">
        <v>105</v>
      </c>
      <c r="E878" s="1">
        <v>1224500</v>
      </c>
      <c r="F878" s="1">
        <v>829500</v>
      </c>
      <c r="G878" s="1">
        <v>553000</v>
      </c>
      <c r="H878" s="1">
        <v>1856500</v>
      </c>
      <c r="I878" s="1">
        <v>1540500</v>
      </c>
    </row>
    <row r="879" spans="1:9" x14ac:dyDescent="0.25">
      <c r="A879" s="2" t="s">
        <v>101</v>
      </c>
      <c r="B879" s="2" t="s">
        <v>88</v>
      </c>
      <c r="C879" s="2" t="s">
        <v>96</v>
      </c>
      <c r="D879" s="2" t="s">
        <v>105</v>
      </c>
      <c r="E879" s="2">
        <v>996300</v>
      </c>
      <c r="F879" s="2">
        <v>1549800</v>
      </c>
      <c r="G879" s="2">
        <v>1070100</v>
      </c>
      <c r="H879" s="2">
        <v>1955700</v>
      </c>
      <c r="I879" s="2">
        <v>2878200</v>
      </c>
    </row>
    <row r="880" spans="1:9" x14ac:dyDescent="0.25">
      <c r="A880" s="1" t="s">
        <v>101</v>
      </c>
      <c r="B880" s="1" t="s">
        <v>88</v>
      </c>
      <c r="C880" s="1" t="s">
        <v>97</v>
      </c>
      <c r="D880" s="1" t="s">
        <v>105</v>
      </c>
      <c r="E880" s="1">
        <v>1969300</v>
      </c>
      <c r="F880" s="1">
        <v>3435800</v>
      </c>
      <c r="G880" s="1">
        <v>1047500</v>
      </c>
      <c r="H880" s="1">
        <v>3854800</v>
      </c>
      <c r="I880" s="1">
        <v>2555900</v>
      </c>
    </row>
    <row r="881" spans="1:9" x14ac:dyDescent="0.25">
      <c r="A881" s="2" t="s">
        <v>101</v>
      </c>
      <c r="B881" s="2" t="s">
        <v>88</v>
      </c>
      <c r="C881" s="2" t="s">
        <v>98</v>
      </c>
      <c r="D881" s="2" t="s">
        <v>105</v>
      </c>
      <c r="E881" s="2">
        <v>1876000</v>
      </c>
      <c r="F881" s="2">
        <v>3048500</v>
      </c>
      <c r="G881" s="2">
        <v>2204300</v>
      </c>
      <c r="H881" s="2">
        <v>750400</v>
      </c>
      <c r="I881" s="2">
        <v>1922900</v>
      </c>
    </row>
    <row r="882" spans="1:9" x14ac:dyDescent="0.25">
      <c r="A882" s="1" t="s">
        <v>102</v>
      </c>
      <c r="B882" s="1" t="s">
        <v>10</v>
      </c>
      <c r="C882" s="1" t="s">
        <v>11</v>
      </c>
      <c r="D882" s="1" t="s">
        <v>105</v>
      </c>
      <c r="E882" s="1">
        <v>2729909</v>
      </c>
      <c r="F882" s="1">
        <v>2129929</v>
      </c>
      <c r="G882" s="1">
        <v>2939902</v>
      </c>
      <c r="H882" s="1">
        <v>1649945</v>
      </c>
      <c r="I882" s="1">
        <v>1019966</v>
      </c>
    </row>
    <row r="883" spans="1:9" x14ac:dyDescent="0.25">
      <c r="A883" s="2" t="s">
        <v>102</v>
      </c>
      <c r="B883" s="2" t="s">
        <v>10</v>
      </c>
      <c r="C883" s="2" t="s">
        <v>13</v>
      </c>
      <c r="D883" s="2" t="s">
        <v>105</v>
      </c>
      <c r="E883" s="2">
        <v>298281</v>
      </c>
      <c r="F883" s="2">
        <v>486669</v>
      </c>
      <c r="G883" s="2">
        <v>1020435</v>
      </c>
      <c r="H883" s="2">
        <v>282582</v>
      </c>
      <c r="I883" s="2">
        <v>926241</v>
      </c>
    </row>
    <row r="884" spans="1:9" x14ac:dyDescent="0.25">
      <c r="A884" s="1" t="s">
        <v>102</v>
      </c>
      <c r="B884" s="1" t="s">
        <v>10</v>
      </c>
      <c r="C884" s="1" t="s">
        <v>14</v>
      </c>
      <c r="D884" s="1" t="s">
        <v>105</v>
      </c>
      <c r="E884" s="1">
        <v>867600</v>
      </c>
      <c r="F884" s="1">
        <v>1098960</v>
      </c>
      <c r="G884" s="1">
        <v>751920</v>
      </c>
      <c r="H884" s="1">
        <v>737460</v>
      </c>
      <c r="I884" s="1">
        <v>1388160</v>
      </c>
    </row>
    <row r="885" spans="1:9" x14ac:dyDescent="0.25">
      <c r="A885" s="2" t="s">
        <v>102</v>
      </c>
      <c r="B885" s="2" t="s">
        <v>10</v>
      </c>
      <c r="C885" s="2" t="s">
        <v>15</v>
      </c>
      <c r="D885" s="2" t="s">
        <v>105</v>
      </c>
      <c r="E885" s="2">
        <v>1478913</v>
      </c>
      <c r="F885" s="2">
        <v>645962</v>
      </c>
      <c r="G885" s="2">
        <v>220987</v>
      </c>
      <c r="H885" s="2">
        <v>1546909</v>
      </c>
      <c r="I885" s="2">
        <v>1240927</v>
      </c>
    </row>
    <row r="886" spans="1:9" x14ac:dyDescent="0.25">
      <c r="A886" s="1" t="s">
        <v>102</v>
      </c>
      <c r="B886" s="1" t="s">
        <v>10</v>
      </c>
      <c r="C886" s="1" t="s">
        <v>16</v>
      </c>
      <c r="D886" s="1" t="s">
        <v>105</v>
      </c>
      <c r="E886" s="1">
        <v>161925</v>
      </c>
      <c r="F886" s="1">
        <v>152400</v>
      </c>
      <c r="G886" s="1">
        <v>847725</v>
      </c>
      <c r="H886" s="1">
        <v>809625</v>
      </c>
      <c r="I886" s="1">
        <v>200025</v>
      </c>
    </row>
    <row r="887" spans="1:9" x14ac:dyDescent="0.25">
      <c r="A887" s="2" t="s">
        <v>102</v>
      </c>
      <c r="B887" s="2" t="s">
        <v>10</v>
      </c>
      <c r="C887" s="2" t="s">
        <v>17</v>
      </c>
      <c r="D887" s="2" t="s">
        <v>105</v>
      </c>
      <c r="E887" s="2">
        <v>820800</v>
      </c>
      <c r="F887" s="2">
        <v>1026000</v>
      </c>
      <c r="G887" s="2">
        <v>1231200</v>
      </c>
      <c r="H887" s="2">
        <v>581400</v>
      </c>
      <c r="I887" s="2">
        <v>974700</v>
      </c>
    </row>
    <row r="888" spans="1:9" x14ac:dyDescent="0.25">
      <c r="A888" s="1" t="s">
        <v>102</v>
      </c>
      <c r="B888" s="1" t="s">
        <v>10</v>
      </c>
      <c r="C888" s="1" t="s">
        <v>18</v>
      </c>
      <c r="D888" s="1" t="s">
        <v>105</v>
      </c>
      <c r="E888" s="1">
        <v>974500</v>
      </c>
      <c r="F888" s="1">
        <v>838070</v>
      </c>
      <c r="G888" s="1">
        <v>1773590</v>
      </c>
      <c r="H888" s="1">
        <v>292350</v>
      </c>
      <c r="I888" s="1">
        <v>682150</v>
      </c>
    </row>
    <row r="889" spans="1:9" x14ac:dyDescent="0.25">
      <c r="A889" s="2" t="s">
        <v>102</v>
      </c>
      <c r="B889" s="2" t="s">
        <v>10</v>
      </c>
      <c r="C889" s="2" t="s">
        <v>19</v>
      </c>
      <c r="D889" s="2" t="s">
        <v>105</v>
      </c>
      <c r="E889" s="2">
        <v>895030</v>
      </c>
      <c r="F889" s="2">
        <v>266090</v>
      </c>
      <c r="G889" s="2">
        <v>822460</v>
      </c>
      <c r="H889" s="2">
        <v>2080340</v>
      </c>
      <c r="I889" s="2">
        <v>241900</v>
      </c>
    </row>
    <row r="890" spans="1:9" x14ac:dyDescent="0.25">
      <c r="A890" s="1" t="s">
        <v>102</v>
      </c>
      <c r="B890" s="1" t="s">
        <v>10</v>
      </c>
      <c r="C890" s="1" t="s">
        <v>20</v>
      </c>
      <c r="D890" s="1" t="s">
        <v>105</v>
      </c>
      <c r="E890" s="1">
        <v>687140</v>
      </c>
      <c r="F890" s="1">
        <v>167790</v>
      </c>
      <c r="G890" s="1">
        <v>343570</v>
      </c>
      <c r="H890" s="1">
        <v>711110</v>
      </c>
      <c r="I890" s="1">
        <v>799000</v>
      </c>
    </row>
    <row r="891" spans="1:9" x14ac:dyDescent="0.25">
      <c r="A891" s="2" t="s">
        <v>102</v>
      </c>
      <c r="B891" s="2" t="s">
        <v>10</v>
      </c>
      <c r="C891" s="2" t="s">
        <v>21</v>
      </c>
      <c r="D891" s="2" t="s">
        <v>105</v>
      </c>
      <c r="E891" s="2">
        <v>590850</v>
      </c>
      <c r="F891" s="2">
        <v>209070</v>
      </c>
      <c r="G891" s="2">
        <v>645390</v>
      </c>
      <c r="H891" s="2">
        <v>463590</v>
      </c>
      <c r="I891" s="2">
        <v>281790</v>
      </c>
    </row>
    <row r="892" spans="1:9" x14ac:dyDescent="0.25">
      <c r="A892" s="1" t="s">
        <v>102</v>
      </c>
      <c r="B892" s="1" t="s">
        <v>22</v>
      </c>
      <c r="C892" s="1" t="s">
        <v>23</v>
      </c>
      <c r="D892" s="1" t="s">
        <v>105</v>
      </c>
      <c r="E892" s="1">
        <v>194689</v>
      </c>
      <c r="F892" s="1">
        <v>743358</v>
      </c>
      <c r="G892" s="1">
        <v>442475</v>
      </c>
      <c r="H892" s="1">
        <v>1309726</v>
      </c>
      <c r="I892" s="1">
        <v>336281</v>
      </c>
    </row>
    <row r="893" spans="1:9" x14ac:dyDescent="0.25">
      <c r="A893" s="2" t="s">
        <v>102</v>
      </c>
      <c r="B893" s="2" t="s">
        <v>22</v>
      </c>
      <c r="C893" s="2" t="s">
        <v>24</v>
      </c>
      <c r="D893" s="2" t="s">
        <v>105</v>
      </c>
      <c r="E893" s="2">
        <v>2490906</v>
      </c>
      <c r="F893" s="2">
        <v>1059960</v>
      </c>
      <c r="G893" s="2">
        <v>1245453</v>
      </c>
      <c r="H893" s="2">
        <v>1854930</v>
      </c>
      <c r="I893" s="2">
        <v>874467</v>
      </c>
    </row>
    <row r="894" spans="1:9" x14ac:dyDescent="0.25">
      <c r="A894" s="1" t="s">
        <v>102</v>
      </c>
      <c r="B894" s="1" t="s">
        <v>22</v>
      </c>
      <c r="C894" s="1" t="s">
        <v>25</v>
      </c>
      <c r="D894" s="1" t="s">
        <v>105</v>
      </c>
      <c r="E894" s="1">
        <v>584960</v>
      </c>
      <c r="F894" s="1">
        <v>493560</v>
      </c>
      <c r="G894" s="1">
        <v>493560</v>
      </c>
      <c r="H894" s="1">
        <v>383880</v>
      </c>
      <c r="I894" s="1">
        <v>511840</v>
      </c>
    </row>
    <row r="895" spans="1:9" x14ac:dyDescent="0.25">
      <c r="A895" s="2" t="s">
        <v>102</v>
      </c>
      <c r="B895" s="2" t="s">
        <v>22</v>
      </c>
      <c r="C895" s="2" t="s">
        <v>26</v>
      </c>
      <c r="D895" s="2" t="s">
        <v>105</v>
      </c>
      <c r="E895" s="2">
        <v>185640</v>
      </c>
      <c r="F895" s="2">
        <v>599760</v>
      </c>
      <c r="G895" s="2">
        <v>128520</v>
      </c>
      <c r="H895" s="2">
        <v>506940</v>
      </c>
      <c r="I895" s="2">
        <v>549780</v>
      </c>
    </row>
    <row r="896" spans="1:9" x14ac:dyDescent="0.25">
      <c r="A896" s="1" t="s">
        <v>102</v>
      </c>
      <c r="B896" s="1" t="s">
        <v>22</v>
      </c>
      <c r="C896" s="1" t="s">
        <v>27</v>
      </c>
      <c r="D896" s="1" t="s">
        <v>105</v>
      </c>
      <c r="E896" s="1">
        <v>1018560</v>
      </c>
      <c r="F896" s="1">
        <v>541110</v>
      </c>
      <c r="G896" s="1">
        <v>1591500</v>
      </c>
      <c r="H896" s="1">
        <v>2005290</v>
      </c>
      <c r="I896" s="1">
        <v>2673720</v>
      </c>
    </row>
    <row r="897" spans="1:9" x14ac:dyDescent="0.25">
      <c r="A897" s="2" t="s">
        <v>102</v>
      </c>
      <c r="B897" s="2" t="s">
        <v>22</v>
      </c>
      <c r="C897" s="2" t="s">
        <v>28</v>
      </c>
      <c r="D897" s="2" t="s">
        <v>105</v>
      </c>
      <c r="E897" s="2">
        <v>2321700</v>
      </c>
      <c r="F897" s="2">
        <v>1602300</v>
      </c>
      <c r="G897" s="2">
        <v>2877600</v>
      </c>
      <c r="H897" s="2">
        <v>2714100</v>
      </c>
      <c r="I897" s="2">
        <v>3237300</v>
      </c>
    </row>
    <row r="898" spans="1:9" x14ac:dyDescent="0.25">
      <c r="A898" s="1" t="s">
        <v>102</v>
      </c>
      <c r="B898" s="1" t="s">
        <v>22</v>
      </c>
      <c r="C898" s="1" t="s">
        <v>29</v>
      </c>
      <c r="D898" s="1" t="s">
        <v>105</v>
      </c>
      <c r="E898" s="1">
        <v>1047500</v>
      </c>
      <c r="F898" s="1">
        <v>1927400</v>
      </c>
      <c r="G898" s="1">
        <v>481850</v>
      </c>
      <c r="H898" s="1">
        <v>2095000</v>
      </c>
      <c r="I898" s="1">
        <v>544700</v>
      </c>
    </row>
    <row r="899" spans="1:9" x14ac:dyDescent="0.25">
      <c r="A899" s="2" t="s">
        <v>102</v>
      </c>
      <c r="B899" s="2" t="s">
        <v>22</v>
      </c>
      <c r="C899" s="2" t="s">
        <v>30</v>
      </c>
      <c r="D899" s="2" t="s">
        <v>105</v>
      </c>
      <c r="E899" s="2">
        <v>395208</v>
      </c>
      <c r="F899" s="2">
        <v>1558876</v>
      </c>
      <c r="G899" s="2">
        <v>878240</v>
      </c>
      <c r="H899" s="2">
        <v>1910172</v>
      </c>
      <c r="I899" s="2">
        <v>1646700</v>
      </c>
    </row>
    <row r="900" spans="1:9" x14ac:dyDescent="0.25">
      <c r="A900" s="1" t="s">
        <v>102</v>
      </c>
      <c r="B900" s="1" t="s">
        <v>22</v>
      </c>
      <c r="C900" s="1" t="s">
        <v>31</v>
      </c>
      <c r="D900" s="1" t="s">
        <v>105</v>
      </c>
      <c r="E900" s="1">
        <v>411950</v>
      </c>
      <c r="F900" s="1">
        <v>389480</v>
      </c>
      <c r="G900" s="1">
        <v>599200</v>
      </c>
      <c r="H900" s="1">
        <v>239680</v>
      </c>
      <c r="I900" s="1">
        <v>344540</v>
      </c>
    </row>
    <row r="901" spans="1:9" x14ac:dyDescent="0.25">
      <c r="A901" s="2" t="s">
        <v>102</v>
      </c>
      <c r="B901" s="2" t="s">
        <v>22</v>
      </c>
      <c r="C901" s="2" t="s">
        <v>32</v>
      </c>
      <c r="D901" s="2" t="s">
        <v>105</v>
      </c>
      <c r="E901" s="2">
        <v>1322250</v>
      </c>
      <c r="F901" s="2">
        <v>830250</v>
      </c>
      <c r="G901" s="2">
        <v>1476000</v>
      </c>
      <c r="H901" s="2">
        <v>615000</v>
      </c>
      <c r="I901" s="2">
        <v>1383750</v>
      </c>
    </row>
    <row r="902" spans="1:9" x14ac:dyDescent="0.25">
      <c r="A902" s="1" t="s">
        <v>102</v>
      </c>
      <c r="B902" s="1" t="s">
        <v>33</v>
      </c>
      <c r="C902" s="1" t="s">
        <v>34</v>
      </c>
      <c r="D902" s="1" t="s">
        <v>105</v>
      </c>
      <c r="E902" s="1">
        <v>947100</v>
      </c>
      <c r="F902" s="1">
        <v>442800</v>
      </c>
      <c r="G902" s="1">
        <v>221400</v>
      </c>
      <c r="H902" s="1">
        <v>455100</v>
      </c>
      <c r="I902" s="1">
        <v>369000</v>
      </c>
    </row>
    <row r="903" spans="1:9" x14ac:dyDescent="0.25">
      <c r="A903" s="2" t="s">
        <v>102</v>
      </c>
      <c r="B903" s="2" t="s">
        <v>33</v>
      </c>
      <c r="C903" s="2" t="s">
        <v>35</v>
      </c>
      <c r="D903" s="2" t="s">
        <v>105</v>
      </c>
      <c r="E903" s="2">
        <v>2576000</v>
      </c>
      <c r="F903" s="2">
        <v>2044000</v>
      </c>
      <c r="G903" s="2">
        <v>1904000</v>
      </c>
      <c r="H903" s="2">
        <v>728000</v>
      </c>
      <c r="I903" s="2">
        <v>1820000</v>
      </c>
    </row>
    <row r="904" spans="1:9" x14ac:dyDescent="0.25">
      <c r="A904" s="1" t="s">
        <v>102</v>
      </c>
      <c r="B904" s="1" t="s">
        <v>33</v>
      </c>
      <c r="C904" s="1" t="s">
        <v>36</v>
      </c>
      <c r="D904" s="1" t="s">
        <v>105</v>
      </c>
      <c r="E904" s="1">
        <v>280420</v>
      </c>
      <c r="F904" s="1">
        <v>1221830</v>
      </c>
      <c r="G904" s="1">
        <v>881320</v>
      </c>
      <c r="H904" s="1">
        <v>200300</v>
      </c>
      <c r="I904" s="1">
        <v>1942910</v>
      </c>
    </row>
    <row r="905" spans="1:9" x14ac:dyDescent="0.25">
      <c r="A905" s="2" t="s">
        <v>102</v>
      </c>
      <c r="B905" s="2" t="s">
        <v>33</v>
      </c>
      <c r="C905" s="2" t="s">
        <v>37</v>
      </c>
      <c r="D905" s="2" t="s">
        <v>105</v>
      </c>
      <c r="E905" s="2">
        <v>495000</v>
      </c>
      <c r="F905" s="2">
        <v>1108800</v>
      </c>
      <c r="G905" s="2">
        <v>1564200</v>
      </c>
      <c r="H905" s="2">
        <v>633600</v>
      </c>
      <c r="I905" s="2">
        <v>376200</v>
      </c>
    </row>
    <row r="906" spans="1:9" x14ac:dyDescent="0.25">
      <c r="A906" s="1" t="s">
        <v>102</v>
      </c>
      <c r="B906" s="1" t="s">
        <v>33</v>
      </c>
      <c r="C906" s="1" t="s">
        <v>38</v>
      </c>
      <c r="D906" s="1" t="s">
        <v>105</v>
      </c>
      <c r="E906" s="1">
        <v>612000</v>
      </c>
      <c r="F906" s="1">
        <v>1566000</v>
      </c>
      <c r="G906" s="1">
        <v>1584000</v>
      </c>
      <c r="H906" s="1">
        <v>720000</v>
      </c>
      <c r="I906" s="1">
        <v>360000</v>
      </c>
    </row>
    <row r="907" spans="1:9" x14ac:dyDescent="0.25">
      <c r="A907" s="2" t="s">
        <v>102</v>
      </c>
      <c r="B907" s="2" t="s">
        <v>33</v>
      </c>
      <c r="C907" s="2" t="s">
        <v>39</v>
      </c>
      <c r="D907" s="2" t="s">
        <v>105</v>
      </c>
      <c r="E907" s="2">
        <v>297330</v>
      </c>
      <c r="F907" s="2">
        <v>349800</v>
      </c>
      <c r="G907" s="2">
        <v>1556610</v>
      </c>
      <c r="H907" s="2">
        <v>839520</v>
      </c>
      <c r="I907" s="2">
        <v>1714020</v>
      </c>
    </row>
    <row r="908" spans="1:9" x14ac:dyDescent="0.25">
      <c r="A908" s="1" t="s">
        <v>102</v>
      </c>
      <c r="B908" s="1" t="s">
        <v>33</v>
      </c>
      <c r="C908" s="1" t="s">
        <v>40</v>
      </c>
      <c r="D908" s="1" t="s">
        <v>105</v>
      </c>
      <c r="E908" s="1">
        <v>1000080</v>
      </c>
      <c r="F908" s="1">
        <v>1111200</v>
      </c>
      <c r="G908" s="1">
        <v>763950</v>
      </c>
      <c r="H908" s="1">
        <v>1389000</v>
      </c>
      <c r="I908" s="1">
        <v>444480</v>
      </c>
    </row>
    <row r="909" spans="1:9" x14ac:dyDescent="0.25">
      <c r="A909" s="2" t="s">
        <v>102</v>
      </c>
      <c r="B909" s="2" t="s">
        <v>33</v>
      </c>
      <c r="C909" s="2" t="s">
        <v>41</v>
      </c>
      <c r="D909" s="2" t="s">
        <v>105</v>
      </c>
      <c r="E909" s="2">
        <v>931660</v>
      </c>
      <c r="F909" s="2">
        <v>1019790</v>
      </c>
      <c r="G909" s="2">
        <v>1057560</v>
      </c>
      <c r="H909" s="2">
        <v>654680</v>
      </c>
      <c r="I909" s="2">
        <v>1019790</v>
      </c>
    </row>
    <row r="910" spans="1:9" x14ac:dyDescent="0.25">
      <c r="A910" s="1" t="s">
        <v>102</v>
      </c>
      <c r="B910" s="1" t="s">
        <v>33</v>
      </c>
      <c r="C910" s="1" t="s">
        <v>42</v>
      </c>
      <c r="D910" s="1" t="s">
        <v>105</v>
      </c>
      <c r="E910" s="1">
        <v>383320</v>
      </c>
      <c r="F910" s="1">
        <v>595515</v>
      </c>
      <c r="G910" s="1">
        <v>643430</v>
      </c>
      <c r="H910" s="1">
        <v>314870</v>
      </c>
      <c r="I910" s="1">
        <v>260110</v>
      </c>
    </row>
    <row r="911" spans="1:9" x14ac:dyDescent="0.25">
      <c r="A911" s="2" t="s">
        <v>102</v>
      </c>
      <c r="B911" s="2" t="s">
        <v>33</v>
      </c>
      <c r="C911" s="2" t="s">
        <v>43</v>
      </c>
      <c r="D911" s="2" t="s">
        <v>105</v>
      </c>
      <c r="E911" s="2">
        <v>487500</v>
      </c>
      <c r="F911" s="2">
        <v>690000</v>
      </c>
      <c r="G911" s="2">
        <v>75000</v>
      </c>
      <c r="H911" s="2">
        <v>225000</v>
      </c>
      <c r="I911" s="2">
        <v>217500</v>
      </c>
    </row>
    <row r="912" spans="1:9" x14ac:dyDescent="0.25">
      <c r="A912" s="1" t="s">
        <v>102</v>
      </c>
      <c r="B912" s="1" t="s">
        <v>44</v>
      </c>
      <c r="C912" s="1" t="s">
        <v>45</v>
      </c>
      <c r="D912" s="1" t="s">
        <v>105</v>
      </c>
      <c r="E912" s="1">
        <v>1586540</v>
      </c>
      <c r="F912" s="1">
        <v>2310830</v>
      </c>
      <c r="G912" s="1">
        <v>3207570</v>
      </c>
      <c r="H912" s="1">
        <v>2517770</v>
      </c>
      <c r="I912" s="1">
        <v>3345530</v>
      </c>
    </row>
    <row r="913" spans="1:9" x14ac:dyDescent="0.25">
      <c r="A913" s="2" t="s">
        <v>102</v>
      </c>
      <c r="B913" s="2" t="s">
        <v>44</v>
      </c>
      <c r="C913" s="2" t="s">
        <v>46</v>
      </c>
      <c r="D913" s="2" t="s">
        <v>105</v>
      </c>
      <c r="E913" s="2">
        <v>934200</v>
      </c>
      <c r="F913" s="2">
        <v>934200</v>
      </c>
      <c r="G913" s="2">
        <v>1972200</v>
      </c>
      <c r="H913" s="2">
        <v>2439300</v>
      </c>
      <c r="I913" s="2">
        <v>2101950</v>
      </c>
    </row>
    <row r="914" spans="1:9" x14ac:dyDescent="0.25">
      <c r="A914" s="1" t="s">
        <v>102</v>
      </c>
      <c r="B914" s="1" t="s">
        <v>44</v>
      </c>
      <c r="C914" s="1" t="s">
        <v>47</v>
      </c>
      <c r="D914" s="1" t="s">
        <v>105</v>
      </c>
      <c r="E914" s="1">
        <v>2015160</v>
      </c>
      <c r="F914" s="1">
        <v>2135110</v>
      </c>
      <c r="G914" s="1">
        <v>2039150</v>
      </c>
      <c r="H914" s="1">
        <v>1295460</v>
      </c>
      <c r="I914" s="1">
        <v>1991170</v>
      </c>
    </row>
    <row r="915" spans="1:9" x14ac:dyDescent="0.25">
      <c r="A915" s="2" t="s">
        <v>102</v>
      </c>
      <c r="B915" s="2" t="s">
        <v>44</v>
      </c>
      <c r="C915" s="2" t="s">
        <v>48</v>
      </c>
      <c r="D915" s="2" t="s">
        <v>105</v>
      </c>
      <c r="E915" s="2">
        <v>131988</v>
      </c>
      <c r="F915" s="2">
        <v>175984</v>
      </c>
      <c r="G915" s="2">
        <v>175984</v>
      </c>
      <c r="H915" s="2">
        <v>494955</v>
      </c>
      <c r="I915" s="2">
        <v>219980</v>
      </c>
    </row>
    <row r="916" spans="1:9" x14ac:dyDescent="0.25">
      <c r="A916" s="1" t="s">
        <v>102</v>
      </c>
      <c r="B916" s="1" t="s">
        <v>44</v>
      </c>
      <c r="C916" s="1" t="s">
        <v>49</v>
      </c>
      <c r="D916" s="1" t="s">
        <v>105</v>
      </c>
      <c r="E916" s="1">
        <v>1190000</v>
      </c>
      <c r="F916" s="1">
        <v>1470000</v>
      </c>
      <c r="G916" s="1">
        <v>3500000</v>
      </c>
      <c r="H916" s="1">
        <v>1680000</v>
      </c>
      <c r="I916" s="1">
        <v>1295000</v>
      </c>
    </row>
    <row r="917" spans="1:9" x14ac:dyDescent="0.25">
      <c r="A917" s="2" t="s">
        <v>102</v>
      </c>
      <c r="B917" s="2" t="s">
        <v>44</v>
      </c>
      <c r="C917" s="2" t="s">
        <v>50</v>
      </c>
      <c r="D917" s="2" t="s">
        <v>105</v>
      </c>
      <c r="E917" s="2">
        <v>1124910</v>
      </c>
      <c r="F917" s="2">
        <v>299976</v>
      </c>
      <c r="G917" s="2">
        <v>237481</v>
      </c>
      <c r="H917" s="2">
        <v>324974</v>
      </c>
      <c r="I917" s="2">
        <v>862431</v>
      </c>
    </row>
    <row r="918" spans="1:9" x14ac:dyDescent="0.25">
      <c r="A918" s="1" t="s">
        <v>102</v>
      </c>
      <c r="B918" s="1" t="s">
        <v>44</v>
      </c>
      <c r="C918" s="1" t="s">
        <v>51</v>
      </c>
      <c r="D918" s="1" t="s">
        <v>105</v>
      </c>
      <c r="E918" s="1">
        <v>1184000</v>
      </c>
      <c r="F918" s="1">
        <v>680800</v>
      </c>
      <c r="G918" s="1">
        <v>1213600</v>
      </c>
      <c r="H918" s="1">
        <v>325600</v>
      </c>
      <c r="I918" s="1">
        <v>1243200</v>
      </c>
    </row>
    <row r="919" spans="1:9" x14ac:dyDescent="0.25">
      <c r="A919" s="2" t="s">
        <v>102</v>
      </c>
      <c r="B919" s="2" t="s">
        <v>44</v>
      </c>
      <c r="C919" s="2" t="s">
        <v>52</v>
      </c>
      <c r="D919" s="2" t="s">
        <v>105</v>
      </c>
      <c r="E919" s="2">
        <v>1014000</v>
      </c>
      <c r="F919" s="2">
        <v>650000</v>
      </c>
      <c r="G919" s="2">
        <v>390000</v>
      </c>
      <c r="H919" s="2">
        <v>910000</v>
      </c>
      <c r="I919" s="2">
        <v>1118000</v>
      </c>
    </row>
    <row r="920" spans="1:9" x14ac:dyDescent="0.25">
      <c r="A920" s="1" t="s">
        <v>102</v>
      </c>
      <c r="B920" s="1" t="s">
        <v>44</v>
      </c>
      <c r="C920" s="1" t="s">
        <v>53</v>
      </c>
      <c r="D920" s="1" t="s">
        <v>105</v>
      </c>
      <c r="E920" s="1">
        <v>1708160</v>
      </c>
      <c r="F920" s="1">
        <v>251200</v>
      </c>
      <c r="G920" s="1">
        <v>1833760</v>
      </c>
      <c r="H920" s="1">
        <v>2059840</v>
      </c>
      <c r="I920" s="1">
        <v>778720</v>
      </c>
    </row>
    <row r="921" spans="1:9" x14ac:dyDescent="0.25">
      <c r="A921" s="2" t="s">
        <v>102</v>
      </c>
      <c r="B921" s="2" t="s">
        <v>44</v>
      </c>
      <c r="C921" s="2" t="s">
        <v>54</v>
      </c>
      <c r="D921" s="2" t="s">
        <v>105</v>
      </c>
      <c r="E921" s="2">
        <v>781164</v>
      </c>
      <c r="F921" s="2">
        <v>499077</v>
      </c>
      <c r="G921" s="2">
        <v>1844415</v>
      </c>
      <c r="H921" s="2">
        <v>1670823</v>
      </c>
      <c r="I921" s="2">
        <v>1670823</v>
      </c>
    </row>
    <row r="922" spans="1:9" x14ac:dyDescent="0.25">
      <c r="A922" s="1" t="s">
        <v>102</v>
      </c>
      <c r="B922" s="1" t="s">
        <v>55</v>
      </c>
      <c r="C922" s="1" t="s">
        <v>56</v>
      </c>
      <c r="D922" s="1" t="s">
        <v>105</v>
      </c>
      <c r="E922" s="1">
        <v>900470</v>
      </c>
      <c r="F922" s="1">
        <v>1223280</v>
      </c>
      <c r="G922" s="1">
        <v>679600</v>
      </c>
      <c r="H922" s="1">
        <v>220870</v>
      </c>
      <c r="I922" s="1">
        <v>390770</v>
      </c>
    </row>
    <row r="923" spans="1:9" x14ac:dyDescent="0.25">
      <c r="A923" s="2" t="s">
        <v>102</v>
      </c>
      <c r="B923" s="2" t="s">
        <v>55</v>
      </c>
      <c r="C923" s="2" t="s">
        <v>57</v>
      </c>
      <c r="D923" s="2" t="s">
        <v>105</v>
      </c>
      <c r="E923" s="2">
        <v>514451</v>
      </c>
      <c r="F923" s="2">
        <v>1018403</v>
      </c>
      <c r="G923" s="2">
        <v>661437</v>
      </c>
      <c r="H923" s="2">
        <v>220479</v>
      </c>
      <c r="I923" s="2">
        <v>220479</v>
      </c>
    </row>
    <row r="924" spans="1:9" x14ac:dyDescent="0.25">
      <c r="A924" s="1" t="s">
        <v>102</v>
      </c>
      <c r="B924" s="1" t="s">
        <v>55</v>
      </c>
      <c r="C924" s="1" t="s">
        <v>58</v>
      </c>
      <c r="D924" s="1" t="s">
        <v>105</v>
      </c>
      <c r="E924" s="1">
        <v>2687800</v>
      </c>
      <c r="F924" s="1">
        <v>2718000</v>
      </c>
      <c r="G924" s="1">
        <v>543600</v>
      </c>
      <c r="H924" s="1">
        <v>936200</v>
      </c>
      <c r="I924" s="1">
        <v>2416000</v>
      </c>
    </row>
    <row r="925" spans="1:9" x14ac:dyDescent="0.25">
      <c r="A925" s="2" t="s">
        <v>102</v>
      </c>
      <c r="B925" s="2" t="s">
        <v>55</v>
      </c>
      <c r="C925" s="2" t="s">
        <v>59</v>
      </c>
      <c r="D925" s="2" t="s">
        <v>105</v>
      </c>
      <c r="E925" s="2">
        <v>929907</v>
      </c>
      <c r="F925" s="2">
        <v>339966</v>
      </c>
      <c r="G925" s="2">
        <v>949905</v>
      </c>
      <c r="H925" s="2">
        <v>759924</v>
      </c>
      <c r="I925" s="2">
        <v>779922</v>
      </c>
    </row>
    <row r="926" spans="1:9" x14ac:dyDescent="0.25">
      <c r="A926" s="1" t="s">
        <v>102</v>
      </c>
      <c r="B926" s="1" t="s">
        <v>55</v>
      </c>
      <c r="C926" s="1" t="s">
        <v>60</v>
      </c>
      <c r="D926" s="1" t="s">
        <v>105</v>
      </c>
      <c r="E926" s="1">
        <v>931103</v>
      </c>
      <c r="F926" s="1">
        <v>441554</v>
      </c>
      <c r="G926" s="1">
        <v>105589</v>
      </c>
      <c r="H926" s="1">
        <v>249574</v>
      </c>
      <c r="I926" s="1">
        <v>172782</v>
      </c>
    </row>
    <row r="927" spans="1:9" x14ac:dyDescent="0.25">
      <c r="A927" s="2" t="s">
        <v>102</v>
      </c>
      <c r="B927" s="2" t="s">
        <v>55</v>
      </c>
      <c r="C927" s="2" t="s">
        <v>61</v>
      </c>
      <c r="D927" s="2" t="s">
        <v>105</v>
      </c>
      <c r="E927" s="2">
        <v>1063944</v>
      </c>
      <c r="F927" s="2">
        <v>1424925</v>
      </c>
      <c r="G927" s="2">
        <v>702963</v>
      </c>
      <c r="H927" s="2">
        <v>1367928</v>
      </c>
      <c r="I927" s="2">
        <v>740961</v>
      </c>
    </row>
    <row r="928" spans="1:9" x14ac:dyDescent="0.25">
      <c r="A928" s="1" t="s">
        <v>102</v>
      </c>
      <c r="B928" s="1" t="s">
        <v>55</v>
      </c>
      <c r="C928" s="1" t="s">
        <v>62</v>
      </c>
      <c r="D928" s="1" t="s">
        <v>105</v>
      </c>
      <c r="E928" s="1">
        <v>1579921</v>
      </c>
      <c r="F928" s="1">
        <v>859957</v>
      </c>
      <c r="G928" s="1">
        <v>1759912</v>
      </c>
      <c r="H928" s="1">
        <v>439978</v>
      </c>
      <c r="I928" s="1">
        <v>1619919</v>
      </c>
    </row>
    <row r="929" spans="1:9" x14ac:dyDescent="0.25">
      <c r="A929" s="2" t="s">
        <v>102</v>
      </c>
      <c r="B929" s="2" t="s">
        <v>55</v>
      </c>
      <c r="C929" s="2" t="s">
        <v>63</v>
      </c>
      <c r="D929" s="2" t="s">
        <v>105</v>
      </c>
      <c r="E929" s="2">
        <v>835710</v>
      </c>
      <c r="F929" s="2">
        <v>657300</v>
      </c>
      <c r="G929" s="2">
        <v>253530</v>
      </c>
      <c r="H929" s="2">
        <v>723030</v>
      </c>
      <c r="I929" s="2">
        <v>544620</v>
      </c>
    </row>
    <row r="930" spans="1:9" x14ac:dyDescent="0.25">
      <c r="A930" s="1" t="s">
        <v>102</v>
      </c>
      <c r="B930" s="1" t="s">
        <v>55</v>
      </c>
      <c r="C930" s="1" t="s">
        <v>64</v>
      </c>
      <c r="D930" s="1" t="s">
        <v>105</v>
      </c>
      <c r="E930" s="1">
        <v>756000</v>
      </c>
      <c r="F930" s="1">
        <v>1785000</v>
      </c>
      <c r="G930" s="1">
        <v>1911000</v>
      </c>
      <c r="H930" s="1">
        <v>1239000</v>
      </c>
      <c r="I930" s="1">
        <v>483000</v>
      </c>
    </row>
    <row r="931" spans="1:9" x14ac:dyDescent="0.25">
      <c r="A931" s="2" t="s">
        <v>102</v>
      </c>
      <c r="B931" s="2" t="s">
        <v>55</v>
      </c>
      <c r="C931" s="2" t="s">
        <v>65</v>
      </c>
      <c r="D931" s="2" t="s">
        <v>105</v>
      </c>
      <c r="E931" s="2">
        <v>375000</v>
      </c>
      <c r="F931" s="2">
        <v>1025000</v>
      </c>
      <c r="G931" s="2">
        <v>275000</v>
      </c>
      <c r="H931" s="2">
        <v>1025000</v>
      </c>
      <c r="I931" s="2">
        <v>1800000</v>
      </c>
    </row>
    <row r="932" spans="1:9" x14ac:dyDescent="0.25">
      <c r="A932" s="1" t="s">
        <v>102</v>
      </c>
      <c r="B932" s="1" t="s">
        <v>66</v>
      </c>
      <c r="C932" s="1" t="s">
        <v>67</v>
      </c>
      <c r="D932" s="1" t="s">
        <v>105</v>
      </c>
      <c r="E932" s="1">
        <v>767976</v>
      </c>
      <c r="F932" s="1">
        <v>1599950</v>
      </c>
      <c r="G932" s="1">
        <v>2495922</v>
      </c>
      <c r="H932" s="1">
        <v>2271929</v>
      </c>
      <c r="I932" s="1">
        <v>2303928</v>
      </c>
    </row>
    <row r="933" spans="1:9" x14ac:dyDescent="0.25">
      <c r="A933" s="2" t="s">
        <v>102</v>
      </c>
      <c r="B933" s="2" t="s">
        <v>66</v>
      </c>
      <c r="C933" s="2" t="s">
        <v>68</v>
      </c>
      <c r="D933" s="2" t="s">
        <v>105</v>
      </c>
      <c r="E933" s="2">
        <v>1070485</v>
      </c>
      <c r="F933" s="2">
        <v>1070485</v>
      </c>
      <c r="G933" s="2">
        <v>642291</v>
      </c>
      <c r="H933" s="2">
        <v>757574</v>
      </c>
      <c r="I933" s="2">
        <v>642291</v>
      </c>
    </row>
    <row r="934" spans="1:9" x14ac:dyDescent="0.25">
      <c r="A934" s="1" t="s">
        <v>102</v>
      </c>
      <c r="B934" s="1" t="s">
        <v>66</v>
      </c>
      <c r="C934" s="1" t="s">
        <v>69</v>
      </c>
      <c r="D934" s="1" t="s">
        <v>105</v>
      </c>
      <c r="E934" s="1">
        <v>259094</v>
      </c>
      <c r="F934" s="1">
        <v>600627</v>
      </c>
      <c r="G934" s="1">
        <v>1036376</v>
      </c>
      <c r="H934" s="1">
        <v>353310</v>
      </c>
      <c r="I934" s="1">
        <v>965714</v>
      </c>
    </row>
    <row r="935" spans="1:9" x14ac:dyDescent="0.25">
      <c r="A935" s="2" t="s">
        <v>102</v>
      </c>
      <c r="B935" s="2" t="s">
        <v>66</v>
      </c>
      <c r="C935" s="2" t="s">
        <v>70</v>
      </c>
      <c r="D935" s="2" t="s">
        <v>105</v>
      </c>
      <c r="E935" s="2">
        <v>439817</v>
      </c>
      <c r="F935" s="2">
        <v>317940</v>
      </c>
      <c r="G935" s="2">
        <v>270249</v>
      </c>
      <c r="H935" s="2">
        <v>259651</v>
      </c>
      <c r="I935" s="2">
        <v>508704</v>
      </c>
    </row>
    <row r="936" spans="1:9" x14ac:dyDescent="0.25">
      <c r="A936" s="1" t="s">
        <v>102</v>
      </c>
      <c r="B936" s="1" t="s">
        <v>66</v>
      </c>
      <c r="C936" s="1" t="s">
        <v>71</v>
      </c>
      <c r="D936" s="1" t="s">
        <v>105</v>
      </c>
      <c r="E936" s="1">
        <v>329300</v>
      </c>
      <c r="F936" s="1">
        <v>89000</v>
      </c>
      <c r="G936" s="1">
        <v>578500</v>
      </c>
      <c r="H936" s="1">
        <v>863300</v>
      </c>
      <c r="I936" s="1">
        <v>320400</v>
      </c>
    </row>
    <row r="937" spans="1:9" x14ac:dyDescent="0.25">
      <c r="A937" s="2" t="s">
        <v>102</v>
      </c>
      <c r="B937" s="2" t="s">
        <v>66</v>
      </c>
      <c r="C937" s="2" t="s">
        <v>72</v>
      </c>
      <c r="D937" s="2" t="s">
        <v>105</v>
      </c>
      <c r="E937" s="2">
        <v>1585004</v>
      </c>
      <c r="F937" s="2">
        <v>357184</v>
      </c>
      <c r="G937" s="2">
        <v>625072</v>
      </c>
      <c r="H937" s="2">
        <v>468804</v>
      </c>
      <c r="I937" s="2">
        <v>1540356</v>
      </c>
    </row>
    <row r="938" spans="1:9" x14ac:dyDescent="0.25">
      <c r="A938" s="1" t="s">
        <v>102</v>
      </c>
      <c r="B938" s="1" t="s">
        <v>66</v>
      </c>
      <c r="C938" s="1" t="s">
        <v>73</v>
      </c>
      <c r="D938" s="1" t="s">
        <v>105</v>
      </c>
      <c r="E938" s="1">
        <v>1559400</v>
      </c>
      <c r="F938" s="1">
        <v>2521030</v>
      </c>
      <c r="G938" s="1">
        <v>545790</v>
      </c>
      <c r="H938" s="1">
        <v>1065590</v>
      </c>
      <c r="I938" s="1">
        <v>259900</v>
      </c>
    </row>
    <row r="939" spans="1:9" x14ac:dyDescent="0.25">
      <c r="A939" s="2" t="s">
        <v>102</v>
      </c>
      <c r="B939" s="2" t="s">
        <v>66</v>
      </c>
      <c r="C939" s="2" t="s">
        <v>74</v>
      </c>
      <c r="D939" s="2" t="s">
        <v>105</v>
      </c>
      <c r="E939" s="2">
        <v>520000</v>
      </c>
      <c r="F939" s="2">
        <v>200000</v>
      </c>
      <c r="G939" s="2">
        <v>360000</v>
      </c>
      <c r="H939" s="2">
        <v>1500000</v>
      </c>
      <c r="I939" s="2">
        <v>1440000</v>
      </c>
    </row>
    <row r="940" spans="1:9" x14ac:dyDescent="0.25">
      <c r="A940" s="1" t="s">
        <v>102</v>
      </c>
      <c r="B940" s="1" t="s">
        <v>66</v>
      </c>
      <c r="C940" s="1" t="s">
        <v>75</v>
      </c>
      <c r="D940" s="1" t="s">
        <v>105</v>
      </c>
      <c r="E940" s="1">
        <v>1701000</v>
      </c>
      <c r="F940" s="1">
        <v>1995000</v>
      </c>
      <c r="G940" s="1">
        <v>651000</v>
      </c>
      <c r="H940" s="1">
        <v>756000</v>
      </c>
      <c r="I940" s="1">
        <v>1218000</v>
      </c>
    </row>
    <row r="941" spans="1:9" x14ac:dyDescent="0.25">
      <c r="A941" s="2" t="s">
        <v>102</v>
      </c>
      <c r="B941" s="2" t="s">
        <v>66</v>
      </c>
      <c r="C941" s="2" t="s">
        <v>76</v>
      </c>
      <c r="D941" s="2" t="s">
        <v>105</v>
      </c>
      <c r="E941" s="2">
        <v>572000</v>
      </c>
      <c r="F941" s="2">
        <v>1562000</v>
      </c>
      <c r="G941" s="2">
        <v>1276000</v>
      </c>
      <c r="H941" s="2">
        <v>506000</v>
      </c>
      <c r="I941" s="2">
        <v>286000</v>
      </c>
    </row>
    <row r="942" spans="1:9" x14ac:dyDescent="0.25">
      <c r="A942" s="1" t="s">
        <v>102</v>
      </c>
      <c r="B942" s="1" t="s">
        <v>77</v>
      </c>
      <c r="C942" s="1" t="s">
        <v>78</v>
      </c>
      <c r="D942" s="1" t="s">
        <v>105</v>
      </c>
      <c r="E942" s="1">
        <v>1613450</v>
      </c>
      <c r="F942" s="1">
        <v>581900</v>
      </c>
      <c r="G942" s="1">
        <v>2221800</v>
      </c>
      <c r="H942" s="1">
        <v>1587000</v>
      </c>
      <c r="I942" s="1">
        <v>264500</v>
      </c>
    </row>
    <row r="943" spans="1:9" x14ac:dyDescent="0.25">
      <c r="A943" s="2" t="s">
        <v>102</v>
      </c>
      <c r="B943" s="2" t="s">
        <v>77</v>
      </c>
      <c r="C943" s="2" t="s">
        <v>79</v>
      </c>
      <c r="D943" s="2" t="s">
        <v>105</v>
      </c>
      <c r="E943" s="2">
        <v>1883232</v>
      </c>
      <c r="F943" s="2">
        <v>1098552</v>
      </c>
      <c r="G943" s="2">
        <v>1883232</v>
      </c>
      <c r="H943" s="2">
        <v>627744</v>
      </c>
      <c r="I943" s="2">
        <v>372723</v>
      </c>
    </row>
    <row r="944" spans="1:9" x14ac:dyDescent="0.25">
      <c r="A944" s="1" t="s">
        <v>102</v>
      </c>
      <c r="B944" s="1" t="s">
        <v>77</v>
      </c>
      <c r="C944" s="1" t="s">
        <v>80</v>
      </c>
      <c r="D944" s="1" t="s">
        <v>105</v>
      </c>
      <c r="E944" s="1">
        <v>1291050</v>
      </c>
      <c r="F944" s="1">
        <v>1606640</v>
      </c>
      <c r="G944" s="1">
        <v>573800</v>
      </c>
      <c r="H944" s="1">
        <v>344280</v>
      </c>
      <c r="I944" s="1">
        <v>2811620</v>
      </c>
    </row>
    <row r="945" spans="1:9" x14ac:dyDescent="0.25">
      <c r="A945" s="2" t="s">
        <v>102</v>
      </c>
      <c r="B945" s="2" t="s">
        <v>77</v>
      </c>
      <c r="C945" s="2" t="s">
        <v>81</v>
      </c>
      <c r="D945" s="2" t="s">
        <v>105</v>
      </c>
      <c r="E945" s="2">
        <v>265860</v>
      </c>
      <c r="F945" s="2">
        <v>854550</v>
      </c>
      <c r="G945" s="2">
        <v>1253340</v>
      </c>
      <c r="H945" s="2">
        <v>1633140</v>
      </c>
      <c r="I945" s="2">
        <v>1728090</v>
      </c>
    </row>
    <row r="946" spans="1:9" x14ac:dyDescent="0.25">
      <c r="A946" s="1" t="s">
        <v>102</v>
      </c>
      <c r="B946" s="1" t="s">
        <v>77</v>
      </c>
      <c r="C946" s="1" t="s">
        <v>82</v>
      </c>
      <c r="D946" s="1" t="s">
        <v>105</v>
      </c>
      <c r="E946" s="1">
        <v>2902530</v>
      </c>
      <c r="F946" s="1">
        <v>2309540</v>
      </c>
      <c r="G946" s="1">
        <v>3089790</v>
      </c>
      <c r="H946" s="1">
        <v>624200</v>
      </c>
      <c r="I946" s="1">
        <v>2684060</v>
      </c>
    </row>
    <row r="947" spans="1:9" x14ac:dyDescent="0.25">
      <c r="A947" s="2" t="s">
        <v>102</v>
      </c>
      <c r="B947" s="2" t="s">
        <v>77</v>
      </c>
      <c r="C947" s="2" t="s">
        <v>83</v>
      </c>
      <c r="D947" s="2" t="s">
        <v>105</v>
      </c>
      <c r="E947" s="2">
        <v>433680</v>
      </c>
      <c r="F947" s="2">
        <v>2435280</v>
      </c>
      <c r="G947" s="2">
        <v>600480</v>
      </c>
      <c r="H947" s="2">
        <v>400320</v>
      </c>
      <c r="I947" s="2">
        <v>3002400</v>
      </c>
    </row>
    <row r="948" spans="1:9" x14ac:dyDescent="0.25">
      <c r="A948" s="1" t="s">
        <v>102</v>
      </c>
      <c r="B948" s="1" t="s">
        <v>77</v>
      </c>
      <c r="C948" s="1" t="s">
        <v>84</v>
      </c>
      <c r="D948" s="1" t="s">
        <v>105</v>
      </c>
      <c r="E948" s="1">
        <v>239988</v>
      </c>
      <c r="F948" s="1">
        <v>439978</v>
      </c>
      <c r="G948" s="1">
        <v>299985</v>
      </c>
      <c r="H948" s="1">
        <v>1439928</v>
      </c>
      <c r="I948" s="1">
        <v>1099945</v>
      </c>
    </row>
    <row r="949" spans="1:9" x14ac:dyDescent="0.25">
      <c r="A949" s="2" t="s">
        <v>102</v>
      </c>
      <c r="B949" s="2" t="s">
        <v>77</v>
      </c>
      <c r="C949" s="2" t="s">
        <v>85</v>
      </c>
      <c r="D949" s="2" t="s">
        <v>105</v>
      </c>
      <c r="E949" s="2">
        <v>300050</v>
      </c>
      <c r="F949" s="2">
        <v>300050</v>
      </c>
      <c r="G949" s="2">
        <v>829550</v>
      </c>
      <c r="H949" s="2">
        <v>953100</v>
      </c>
      <c r="I949" s="2">
        <v>1376700</v>
      </c>
    </row>
    <row r="950" spans="1:9" x14ac:dyDescent="0.25">
      <c r="A950" s="1" t="s">
        <v>102</v>
      </c>
      <c r="B950" s="1" t="s">
        <v>77</v>
      </c>
      <c r="C950" s="1" t="s">
        <v>86</v>
      </c>
      <c r="D950" s="1" t="s">
        <v>105</v>
      </c>
      <c r="E950" s="1">
        <v>1231200</v>
      </c>
      <c r="F950" s="1">
        <v>516800</v>
      </c>
      <c r="G950" s="1">
        <v>304000</v>
      </c>
      <c r="H950" s="1">
        <v>410400</v>
      </c>
      <c r="I950" s="1">
        <v>972800</v>
      </c>
    </row>
    <row r="951" spans="1:9" x14ac:dyDescent="0.25">
      <c r="A951" s="2" t="s">
        <v>102</v>
      </c>
      <c r="B951" s="2" t="s">
        <v>77</v>
      </c>
      <c r="C951" s="2" t="s">
        <v>87</v>
      </c>
      <c r="D951" s="2" t="s">
        <v>105</v>
      </c>
      <c r="E951" s="2">
        <v>2019600</v>
      </c>
      <c r="F951" s="2">
        <v>2088450</v>
      </c>
      <c r="G951" s="2">
        <v>2157300</v>
      </c>
      <c r="H951" s="2">
        <v>1514700</v>
      </c>
      <c r="I951" s="2">
        <v>2226150</v>
      </c>
    </row>
    <row r="952" spans="1:9" x14ac:dyDescent="0.25">
      <c r="A952" s="1" t="s">
        <v>102</v>
      </c>
      <c r="B952" s="1" t="s">
        <v>88</v>
      </c>
      <c r="C952" s="1" t="s">
        <v>89</v>
      </c>
      <c r="D952" s="1" t="s">
        <v>105</v>
      </c>
      <c r="E952" s="1">
        <v>1207500</v>
      </c>
      <c r="F952" s="1">
        <v>1207500</v>
      </c>
      <c r="G952" s="1">
        <v>2242500</v>
      </c>
      <c r="H952" s="1">
        <v>977500</v>
      </c>
      <c r="I952" s="1">
        <v>4427500</v>
      </c>
    </row>
    <row r="953" spans="1:9" x14ac:dyDescent="0.25">
      <c r="A953" s="2" t="s">
        <v>102</v>
      </c>
      <c r="B953" s="2" t="s">
        <v>88</v>
      </c>
      <c r="C953" s="2" t="s">
        <v>90</v>
      </c>
      <c r="D953" s="2" t="s">
        <v>105</v>
      </c>
      <c r="E953" s="2">
        <v>3970200</v>
      </c>
      <c r="F953" s="2">
        <v>4224700</v>
      </c>
      <c r="G953" s="2">
        <v>2392300</v>
      </c>
      <c r="H953" s="2">
        <v>3155800</v>
      </c>
      <c r="I953" s="2">
        <v>2494100</v>
      </c>
    </row>
    <row r="954" spans="1:9" x14ac:dyDescent="0.25">
      <c r="A954" s="1" t="s">
        <v>102</v>
      </c>
      <c r="B954" s="1" t="s">
        <v>88</v>
      </c>
      <c r="C954" s="1" t="s">
        <v>91</v>
      </c>
      <c r="D954" s="1" t="s">
        <v>105</v>
      </c>
      <c r="E954" s="1">
        <v>934500</v>
      </c>
      <c r="F954" s="1">
        <v>1513000</v>
      </c>
      <c r="G954" s="1">
        <v>2492000</v>
      </c>
      <c r="H954" s="1">
        <v>3515500</v>
      </c>
      <c r="I954" s="1">
        <v>1068000</v>
      </c>
    </row>
    <row r="955" spans="1:9" x14ac:dyDescent="0.25">
      <c r="A955" s="2" t="s">
        <v>102</v>
      </c>
      <c r="B955" s="2" t="s">
        <v>88</v>
      </c>
      <c r="C955" s="2" t="s">
        <v>92</v>
      </c>
      <c r="D955" s="2" t="s">
        <v>105</v>
      </c>
      <c r="E955" s="2">
        <v>2425600</v>
      </c>
      <c r="F955" s="2">
        <v>1553900</v>
      </c>
      <c r="G955" s="2">
        <v>1326500</v>
      </c>
      <c r="H955" s="2">
        <v>909600</v>
      </c>
      <c r="I955" s="2">
        <v>1591800</v>
      </c>
    </row>
    <row r="956" spans="1:9" x14ac:dyDescent="0.25">
      <c r="A956" s="1" t="s">
        <v>102</v>
      </c>
      <c r="B956" s="1" t="s">
        <v>88</v>
      </c>
      <c r="C956" s="1" t="s">
        <v>93</v>
      </c>
      <c r="D956" s="1" t="s">
        <v>105</v>
      </c>
      <c r="E956" s="1">
        <v>1475000</v>
      </c>
      <c r="F956" s="1">
        <v>1475000</v>
      </c>
      <c r="G956" s="1">
        <v>2832000</v>
      </c>
      <c r="H956" s="1">
        <v>2773000</v>
      </c>
      <c r="I956" s="1">
        <v>826000</v>
      </c>
    </row>
    <row r="957" spans="1:9" x14ac:dyDescent="0.25">
      <c r="A957" s="2" t="s">
        <v>102</v>
      </c>
      <c r="B957" s="2" t="s">
        <v>88</v>
      </c>
      <c r="C957" s="2" t="s">
        <v>94</v>
      </c>
      <c r="D957" s="2" t="s">
        <v>105</v>
      </c>
      <c r="E957" s="2">
        <v>2449500</v>
      </c>
      <c r="F957" s="2">
        <v>3036000</v>
      </c>
      <c r="G957" s="2">
        <v>1414500</v>
      </c>
      <c r="H957" s="2">
        <v>1104000</v>
      </c>
      <c r="I957" s="2">
        <v>1863000</v>
      </c>
    </row>
    <row r="958" spans="1:9" x14ac:dyDescent="0.25">
      <c r="A958" s="1" t="s">
        <v>102</v>
      </c>
      <c r="B958" s="1" t="s">
        <v>88</v>
      </c>
      <c r="C958" s="1" t="s">
        <v>95</v>
      </c>
      <c r="D958" s="1" t="s">
        <v>105</v>
      </c>
      <c r="E958" s="1">
        <v>2962500</v>
      </c>
      <c r="F958" s="1">
        <v>987500</v>
      </c>
      <c r="G958" s="1">
        <v>1027000</v>
      </c>
      <c r="H958" s="1">
        <v>395000</v>
      </c>
      <c r="I958" s="1">
        <v>1975000</v>
      </c>
    </row>
    <row r="959" spans="1:9" x14ac:dyDescent="0.25">
      <c r="A959" s="2" t="s">
        <v>102</v>
      </c>
      <c r="B959" s="2" t="s">
        <v>88</v>
      </c>
      <c r="C959" s="2" t="s">
        <v>96</v>
      </c>
      <c r="D959" s="2" t="s">
        <v>105</v>
      </c>
      <c r="E959" s="2">
        <v>3505500</v>
      </c>
      <c r="F959" s="2">
        <v>2841300</v>
      </c>
      <c r="G959" s="2">
        <v>590400</v>
      </c>
      <c r="H959" s="2">
        <v>996300</v>
      </c>
      <c r="I959" s="2">
        <v>1070100</v>
      </c>
    </row>
    <row r="960" spans="1:9" x14ac:dyDescent="0.25">
      <c r="A960" s="1" t="s">
        <v>102</v>
      </c>
      <c r="B960" s="1" t="s">
        <v>88</v>
      </c>
      <c r="C960" s="1" t="s">
        <v>97</v>
      </c>
      <c r="D960" s="1" t="s">
        <v>105</v>
      </c>
      <c r="E960" s="1">
        <v>1717900</v>
      </c>
      <c r="F960" s="1">
        <v>2597800</v>
      </c>
      <c r="G960" s="1">
        <v>544700</v>
      </c>
      <c r="H960" s="1">
        <v>3016800</v>
      </c>
      <c r="I960" s="1">
        <v>838000</v>
      </c>
    </row>
    <row r="961" spans="1:9" x14ac:dyDescent="0.25">
      <c r="A961" s="2" t="s">
        <v>102</v>
      </c>
      <c r="B961" s="2" t="s">
        <v>88</v>
      </c>
      <c r="C961" s="2" t="s">
        <v>98</v>
      </c>
      <c r="D961" s="2" t="s">
        <v>105</v>
      </c>
      <c r="E961" s="2">
        <v>2860900</v>
      </c>
      <c r="F961" s="2">
        <v>891100</v>
      </c>
      <c r="G961" s="2">
        <v>2954700</v>
      </c>
      <c r="H961" s="2">
        <v>4502400</v>
      </c>
      <c r="I961" s="2">
        <v>891100</v>
      </c>
    </row>
    <row r="962" spans="1:9" x14ac:dyDescent="0.25">
      <c r="A962" s="1" t="s">
        <v>103</v>
      </c>
      <c r="B962" s="1" t="s">
        <v>10</v>
      </c>
      <c r="C962" s="1" t="s">
        <v>11</v>
      </c>
      <c r="D962" s="1" t="s">
        <v>105</v>
      </c>
      <c r="E962" s="1">
        <v>2489917</v>
      </c>
      <c r="F962" s="1">
        <v>1079964</v>
      </c>
      <c r="G962" s="1">
        <v>2999900</v>
      </c>
      <c r="H962" s="1">
        <v>1649945</v>
      </c>
      <c r="I962" s="1">
        <v>1649945</v>
      </c>
    </row>
    <row r="963" spans="1:9" x14ac:dyDescent="0.25">
      <c r="A963" s="2" t="s">
        <v>103</v>
      </c>
      <c r="B963" s="2" t="s">
        <v>10</v>
      </c>
      <c r="C963" s="2" t="s">
        <v>13</v>
      </c>
      <c r="D963" s="2" t="s">
        <v>105</v>
      </c>
      <c r="E963" s="2">
        <v>1208823</v>
      </c>
      <c r="F963" s="2">
        <v>1475706</v>
      </c>
      <c r="G963" s="2">
        <v>1538502</v>
      </c>
      <c r="H963" s="2">
        <v>769251</v>
      </c>
      <c r="I963" s="2">
        <v>816348</v>
      </c>
    </row>
    <row r="964" spans="1:9" x14ac:dyDescent="0.25">
      <c r="A964" s="1" t="s">
        <v>103</v>
      </c>
      <c r="B964" s="1" t="s">
        <v>10</v>
      </c>
      <c r="C964" s="1" t="s">
        <v>14</v>
      </c>
      <c r="D964" s="1" t="s">
        <v>105</v>
      </c>
      <c r="E964" s="1">
        <v>925440</v>
      </c>
      <c r="F964" s="1">
        <v>347040</v>
      </c>
      <c r="G964" s="1">
        <v>1272480</v>
      </c>
      <c r="H964" s="1">
        <v>375960</v>
      </c>
      <c r="I964" s="1">
        <v>1229100</v>
      </c>
    </row>
    <row r="965" spans="1:9" x14ac:dyDescent="0.25">
      <c r="A965" s="2" t="s">
        <v>103</v>
      </c>
      <c r="B965" s="2" t="s">
        <v>10</v>
      </c>
      <c r="C965" s="2" t="s">
        <v>15</v>
      </c>
      <c r="D965" s="2" t="s">
        <v>105</v>
      </c>
      <c r="E965" s="2">
        <v>1512911</v>
      </c>
      <c r="F965" s="2">
        <v>509970</v>
      </c>
      <c r="G965" s="2">
        <v>1291924</v>
      </c>
      <c r="H965" s="2">
        <v>1002941</v>
      </c>
      <c r="I965" s="2">
        <v>1648903</v>
      </c>
    </row>
    <row r="966" spans="1:9" x14ac:dyDescent="0.25">
      <c r="A966" s="1" t="s">
        <v>103</v>
      </c>
      <c r="B966" s="1" t="s">
        <v>10</v>
      </c>
      <c r="C966" s="1" t="s">
        <v>16</v>
      </c>
      <c r="D966" s="1" t="s">
        <v>105</v>
      </c>
      <c r="E966" s="1">
        <v>581025</v>
      </c>
      <c r="F966" s="1">
        <v>285750</v>
      </c>
      <c r="G966" s="1">
        <v>495300</v>
      </c>
      <c r="H966" s="1">
        <v>171450</v>
      </c>
      <c r="I966" s="1">
        <v>923925</v>
      </c>
    </row>
    <row r="967" spans="1:9" x14ac:dyDescent="0.25">
      <c r="A967" s="2" t="s">
        <v>103</v>
      </c>
      <c r="B967" s="2" t="s">
        <v>10</v>
      </c>
      <c r="C967" s="2" t="s">
        <v>17</v>
      </c>
      <c r="D967" s="2" t="s">
        <v>105</v>
      </c>
      <c r="E967" s="2">
        <v>1350900</v>
      </c>
      <c r="F967" s="2">
        <v>256500</v>
      </c>
      <c r="G967" s="2">
        <v>957600</v>
      </c>
      <c r="H967" s="2">
        <v>1436400</v>
      </c>
      <c r="I967" s="2">
        <v>769500</v>
      </c>
    </row>
    <row r="968" spans="1:9" x14ac:dyDescent="0.25">
      <c r="A968" s="1" t="s">
        <v>103</v>
      </c>
      <c r="B968" s="1" t="s">
        <v>10</v>
      </c>
      <c r="C968" s="1" t="s">
        <v>18</v>
      </c>
      <c r="D968" s="1" t="s">
        <v>105</v>
      </c>
      <c r="E968" s="1">
        <v>1422770</v>
      </c>
      <c r="F968" s="1">
        <v>818580</v>
      </c>
      <c r="G968" s="1">
        <v>1793080</v>
      </c>
      <c r="H968" s="1">
        <v>1364300</v>
      </c>
      <c r="I968" s="1">
        <v>1910020</v>
      </c>
    </row>
    <row r="969" spans="1:9" x14ac:dyDescent="0.25">
      <c r="A969" s="2" t="s">
        <v>103</v>
      </c>
      <c r="B969" s="2" t="s">
        <v>10</v>
      </c>
      <c r="C969" s="2" t="s">
        <v>19</v>
      </c>
      <c r="D969" s="2" t="s">
        <v>105</v>
      </c>
      <c r="E969" s="2">
        <v>870840</v>
      </c>
      <c r="F969" s="2">
        <v>1354640</v>
      </c>
      <c r="G969" s="2">
        <v>580560</v>
      </c>
      <c r="H969" s="2">
        <v>2370620</v>
      </c>
      <c r="I969" s="2">
        <v>532180</v>
      </c>
    </row>
    <row r="970" spans="1:9" x14ac:dyDescent="0.25">
      <c r="A970" s="1" t="s">
        <v>103</v>
      </c>
      <c r="B970" s="1" t="s">
        <v>10</v>
      </c>
      <c r="C970" s="1" t="s">
        <v>20</v>
      </c>
      <c r="D970" s="1" t="s">
        <v>105</v>
      </c>
      <c r="E970" s="1">
        <v>327590</v>
      </c>
      <c r="F970" s="1">
        <v>191760</v>
      </c>
      <c r="G970" s="1">
        <v>607240</v>
      </c>
      <c r="H970" s="1">
        <v>303620</v>
      </c>
      <c r="I970" s="1">
        <v>335580</v>
      </c>
    </row>
    <row r="971" spans="1:9" x14ac:dyDescent="0.25">
      <c r="A971" s="2" t="s">
        <v>103</v>
      </c>
      <c r="B971" s="2" t="s">
        <v>10</v>
      </c>
      <c r="C971" s="2" t="s">
        <v>21</v>
      </c>
      <c r="D971" s="2" t="s">
        <v>105</v>
      </c>
      <c r="E971" s="2">
        <v>181800</v>
      </c>
      <c r="F971" s="2">
        <v>536310</v>
      </c>
      <c r="G971" s="2">
        <v>399960</v>
      </c>
      <c r="H971" s="2">
        <v>272700</v>
      </c>
      <c r="I971" s="2">
        <v>127260</v>
      </c>
    </row>
    <row r="972" spans="1:9" x14ac:dyDescent="0.25">
      <c r="A972" s="1" t="s">
        <v>103</v>
      </c>
      <c r="B972" s="1" t="s">
        <v>22</v>
      </c>
      <c r="C972" s="1" t="s">
        <v>23</v>
      </c>
      <c r="D972" s="1" t="s">
        <v>105</v>
      </c>
      <c r="E972" s="1">
        <v>1486716</v>
      </c>
      <c r="F972" s="1">
        <v>831853</v>
      </c>
      <c r="G972" s="1">
        <v>300883</v>
      </c>
      <c r="H972" s="1">
        <v>654863</v>
      </c>
      <c r="I972" s="1">
        <v>1061940</v>
      </c>
    </row>
    <row r="973" spans="1:9" x14ac:dyDescent="0.25">
      <c r="A973" s="2" t="s">
        <v>103</v>
      </c>
      <c r="B973" s="2" t="s">
        <v>22</v>
      </c>
      <c r="C973" s="2" t="s">
        <v>24</v>
      </c>
      <c r="D973" s="2" t="s">
        <v>105</v>
      </c>
      <c r="E973" s="2">
        <v>1457445</v>
      </c>
      <c r="F973" s="2">
        <v>2093421</v>
      </c>
      <c r="G973" s="2">
        <v>1722435</v>
      </c>
      <c r="H973" s="2">
        <v>1271952</v>
      </c>
      <c r="I973" s="2">
        <v>1086459</v>
      </c>
    </row>
    <row r="974" spans="1:9" x14ac:dyDescent="0.25">
      <c r="A974" s="1" t="s">
        <v>103</v>
      </c>
      <c r="B974" s="1" t="s">
        <v>22</v>
      </c>
      <c r="C974" s="1" t="s">
        <v>25</v>
      </c>
      <c r="D974" s="1" t="s">
        <v>105</v>
      </c>
      <c r="E974" s="1">
        <v>1572080</v>
      </c>
      <c r="F974" s="1">
        <v>402160</v>
      </c>
      <c r="G974" s="1">
        <v>1407560</v>
      </c>
      <c r="H974" s="1">
        <v>237640</v>
      </c>
      <c r="I974" s="1">
        <v>1645200</v>
      </c>
    </row>
    <row r="975" spans="1:9" x14ac:dyDescent="0.25">
      <c r="A975" s="2" t="s">
        <v>103</v>
      </c>
      <c r="B975" s="2" t="s">
        <v>22</v>
      </c>
      <c r="C975" s="2" t="s">
        <v>26</v>
      </c>
      <c r="D975" s="2" t="s">
        <v>105</v>
      </c>
      <c r="E975" s="2">
        <v>456960</v>
      </c>
      <c r="F975" s="2">
        <v>606900</v>
      </c>
      <c r="G975" s="2">
        <v>371280</v>
      </c>
      <c r="H975" s="2">
        <v>521220</v>
      </c>
      <c r="I975" s="2">
        <v>349860</v>
      </c>
    </row>
    <row r="976" spans="1:9" x14ac:dyDescent="0.25">
      <c r="A976" s="1" t="s">
        <v>103</v>
      </c>
      <c r="B976" s="1" t="s">
        <v>22</v>
      </c>
      <c r="C976" s="1" t="s">
        <v>27</v>
      </c>
      <c r="D976" s="1" t="s">
        <v>105</v>
      </c>
      <c r="E976" s="1">
        <v>2546400</v>
      </c>
      <c r="F976" s="1">
        <v>2387250</v>
      </c>
      <c r="G976" s="1">
        <v>2132610</v>
      </c>
      <c r="H976" s="1">
        <v>2100780</v>
      </c>
      <c r="I976" s="1">
        <v>2291760</v>
      </c>
    </row>
    <row r="977" spans="1:9" x14ac:dyDescent="0.25">
      <c r="A977" s="2" t="s">
        <v>103</v>
      </c>
      <c r="B977" s="2" t="s">
        <v>22</v>
      </c>
      <c r="C977" s="2" t="s">
        <v>28</v>
      </c>
      <c r="D977" s="2" t="s">
        <v>105</v>
      </c>
      <c r="E977" s="2">
        <v>2812200</v>
      </c>
      <c r="F977" s="2">
        <v>3270000</v>
      </c>
      <c r="G977" s="2">
        <v>3237300</v>
      </c>
      <c r="H977" s="2">
        <v>2648700</v>
      </c>
      <c r="I977" s="2">
        <v>2550600</v>
      </c>
    </row>
    <row r="978" spans="1:9" x14ac:dyDescent="0.25">
      <c r="A978" s="1" t="s">
        <v>103</v>
      </c>
      <c r="B978" s="1" t="s">
        <v>22</v>
      </c>
      <c r="C978" s="1" t="s">
        <v>29</v>
      </c>
      <c r="D978" s="1" t="s">
        <v>105</v>
      </c>
      <c r="E978" s="1">
        <v>1361750</v>
      </c>
      <c r="F978" s="1">
        <v>1026550</v>
      </c>
      <c r="G978" s="1">
        <v>335200</v>
      </c>
      <c r="H978" s="1">
        <v>607550</v>
      </c>
      <c r="I978" s="1">
        <v>230450</v>
      </c>
    </row>
    <row r="979" spans="1:9" x14ac:dyDescent="0.25">
      <c r="A979" s="2" t="s">
        <v>103</v>
      </c>
      <c r="B979" s="2" t="s">
        <v>22</v>
      </c>
      <c r="C979" s="2" t="s">
        <v>30</v>
      </c>
      <c r="D979" s="2" t="s">
        <v>105</v>
      </c>
      <c r="E979" s="2">
        <v>1251492</v>
      </c>
      <c r="F979" s="2">
        <v>988020</v>
      </c>
      <c r="G979" s="2">
        <v>439120</v>
      </c>
      <c r="H979" s="2">
        <v>439120</v>
      </c>
      <c r="I979" s="2">
        <v>1844304</v>
      </c>
    </row>
    <row r="980" spans="1:9" x14ac:dyDescent="0.25">
      <c r="A980" s="1" t="s">
        <v>103</v>
      </c>
      <c r="B980" s="1" t="s">
        <v>22</v>
      </c>
      <c r="C980" s="1" t="s">
        <v>31</v>
      </c>
      <c r="D980" s="1" t="s">
        <v>105</v>
      </c>
      <c r="E980" s="1">
        <v>179760</v>
      </c>
      <c r="F980" s="1">
        <v>269640</v>
      </c>
      <c r="G980" s="1">
        <v>254660</v>
      </c>
      <c r="H980" s="1">
        <v>359520</v>
      </c>
      <c r="I980" s="1">
        <v>329560</v>
      </c>
    </row>
    <row r="981" spans="1:9" x14ac:dyDescent="0.25">
      <c r="A981" s="2" t="s">
        <v>103</v>
      </c>
      <c r="B981" s="2" t="s">
        <v>22</v>
      </c>
      <c r="C981" s="2" t="s">
        <v>32</v>
      </c>
      <c r="D981" s="2" t="s">
        <v>105</v>
      </c>
      <c r="E981" s="2">
        <v>1691250</v>
      </c>
      <c r="F981" s="2">
        <v>1045500</v>
      </c>
      <c r="G981" s="2">
        <v>984000</v>
      </c>
      <c r="H981" s="2">
        <v>2552250</v>
      </c>
      <c r="I981" s="2">
        <v>2829000</v>
      </c>
    </row>
    <row r="982" spans="1:9" x14ac:dyDescent="0.25">
      <c r="A982" s="1" t="s">
        <v>103</v>
      </c>
      <c r="B982" s="1" t="s">
        <v>33</v>
      </c>
      <c r="C982" s="1" t="s">
        <v>34</v>
      </c>
      <c r="D982" s="1" t="s">
        <v>105</v>
      </c>
      <c r="E982" s="1">
        <v>897900</v>
      </c>
      <c r="F982" s="1">
        <v>934800</v>
      </c>
      <c r="G982" s="1">
        <v>1205400</v>
      </c>
      <c r="H982" s="1">
        <v>221400</v>
      </c>
      <c r="I982" s="1">
        <v>159900</v>
      </c>
    </row>
    <row r="983" spans="1:9" x14ac:dyDescent="0.25">
      <c r="A983" s="2" t="s">
        <v>103</v>
      </c>
      <c r="B983" s="2" t="s">
        <v>33</v>
      </c>
      <c r="C983" s="2" t="s">
        <v>35</v>
      </c>
      <c r="D983" s="2" t="s">
        <v>105</v>
      </c>
      <c r="E983" s="2">
        <v>2548000</v>
      </c>
      <c r="F983" s="2">
        <v>2016000</v>
      </c>
      <c r="G983" s="2">
        <v>1764000</v>
      </c>
      <c r="H983" s="2">
        <v>504000</v>
      </c>
      <c r="I983" s="2">
        <v>1176000</v>
      </c>
    </row>
    <row r="984" spans="1:9" x14ac:dyDescent="0.25">
      <c r="A984" s="1" t="s">
        <v>103</v>
      </c>
      <c r="B984" s="1" t="s">
        <v>33</v>
      </c>
      <c r="C984" s="1" t="s">
        <v>36</v>
      </c>
      <c r="D984" s="1" t="s">
        <v>105</v>
      </c>
      <c r="E984" s="1">
        <v>961440</v>
      </c>
      <c r="F984" s="1">
        <v>320480</v>
      </c>
      <c r="G984" s="1">
        <v>280420</v>
      </c>
      <c r="H984" s="1">
        <v>620930</v>
      </c>
      <c r="I984" s="1">
        <v>640960</v>
      </c>
    </row>
    <row r="985" spans="1:9" x14ac:dyDescent="0.25">
      <c r="A985" s="2" t="s">
        <v>103</v>
      </c>
      <c r="B985" s="2" t="s">
        <v>33</v>
      </c>
      <c r="C985" s="2" t="s">
        <v>37</v>
      </c>
      <c r="D985" s="2" t="s">
        <v>105</v>
      </c>
      <c r="E985" s="2">
        <v>257400</v>
      </c>
      <c r="F985" s="2">
        <v>712800</v>
      </c>
      <c r="G985" s="2">
        <v>475200</v>
      </c>
      <c r="H985" s="2">
        <v>1564200</v>
      </c>
      <c r="I985" s="2">
        <v>871200</v>
      </c>
    </row>
    <row r="986" spans="1:9" x14ac:dyDescent="0.25">
      <c r="A986" s="1" t="s">
        <v>103</v>
      </c>
      <c r="B986" s="1" t="s">
        <v>33</v>
      </c>
      <c r="C986" s="1" t="s">
        <v>38</v>
      </c>
      <c r="D986" s="1" t="s">
        <v>105</v>
      </c>
      <c r="E986" s="1">
        <v>1566000</v>
      </c>
      <c r="F986" s="1">
        <v>360000</v>
      </c>
      <c r="G986" s="1">
        <v>1530000</v>
      </c>
      <c r="H986" s="1">
        <v>1314000</v>
      </c>
      <c r="I986" s="1">
        <v>1332000</v>
      </c>
    </row>
    <row r="987" spans="1:9" x14ac:dyDescent="0.25">
      <c r="A987" s="2" t="s">
        <v>103</v>
      </c>
      <c r="B987" s="2" t="s">
        <v>33</v>
      </c>
      <c r="C987" s="2" t="s">
        <v>39</v>
      </c>
      <c r="D987" s="2" t="s">
        <v>105</v>
      </c>
      <c r="E987" s="2">
        <v>1346730</v>
      </c>
      <c r="F987" s="2">
        <v>1591590</v>
      </c>
      <c r="G987" s="2">
        <v>664620</v>
      </c>
      <c r="H987" s="2">
        <v>1714020</v>
      </c>
      <c r="I987" s="2">
        <v>1521630</v>
      </c>
    </row>
    <row r="988" spans="1:9" x14ac:dyDescent="0.25">
      <c r="A988" s="1" t="s">
        <v>103</v>
      </c>
      <c r="B988" s="1" t="s">
        <v>33</v>
      </c>
      <c r="C988" s="1" t="s">
        <v>40</v>
      </c>
      <c r="D988" s="1" t="s">
        <v>105</v>
      </c>
      <c r="E988" s="1">
        <v>569490</v>
      </c>
      <c r="F988" s="1">
        <v>1333440</v>
      </c>
      <c r="G988" s="1">
        <v>1055640</v>
      </c>
      <c r="H988" s="1">
        <v>888960</v>
      </c>
      <c r="I988" s="1">
        <v>1138980</v>
      </c>
    </row>
    <row r="989" spans="1:9" x14ac:dyDescent="0.25">
      <c r="A989" s="2" t="s">
        <v>103</v>
      </c>
      <c r="B989" s="2" t="s">
        <v>33</v>
      </c>
      <c r="C989" s="2" t="s">
        <v>41</v>
      </c>
      <c r="D989" s="2" t="s">
        <v>105</v>
      </c>
      <c r="E989" s="2">
        <v>994610</v>
      </c>
      <c r="F989" s="2">
        <v>1044970</v>
      </c>
      <c r="G989" s="2">
        <v>377700</v>
      </c>
      <c r="H989" s="2">
        <v>402880</v>
      </c>
      <c r="I989" s="2">
        <v>793170</v>
      </c>
    </row>
    <row r="990" spans="1:9" x14ac:dyDescent="0.25">
      <c r="A990" s="1" t="s">
        <v>103</v>
      </c>
      <c r="B990" s="1" t="s">
        <v>33</v>
      </c>
      <c r="C990" s="1" t="s">
        <v>42</v>
      </c>
      <c r="D990" s="1" t="s">
        <v>105</v>
      </c>
      <c r="E990" s="1">
        <v>554445</v>
      </c>
      <c r="F990" s="1">
        <v>431235</v>
      </c>
      <c r="G990" s="1">
        <v>410700</v>
      </c>
      <c r="H990" s="1">
        <v>609205</v>
      </c>
      <c r="I990" s="1">
        <v>431235</v>
      </c>
    </row>
    <row r="991" spans="1:9" x14ac:dyDescent="0.25">
      <c r="A991" s="2" t="s">
        <v>103</v>
      </c>
      <c r="B991" s="2" t="s">
        <v>33</v>
      </c>
      <c r="C991" s="2" t="s">
        <v>43</v>
      </c>
      <c r="D991" s="2" t="s">
        <v>105</v>
      </c>
      <c r="E991" s="2">
        <v>180000</v>
      </c>
      <c r="F991" s="2">
        <v>225000</v>
      </c>
      <c r="G991" s="2">
        <v>75000</v>
      </c>
      <c r="H991" s="2">
        <v>697500</v>
      </c>
      <c r="I991" s="2">
        <v>142500</v>
      </c>
    </row>
    <row r="992" spans="1:9" x14ac:dyDescent="0.25">
      <c r="A992" s="1" t="s">
        <v>103</v>
      </c>
      <c r="B992" s="1" t="s">
        <v>44</v>
      </c>
      <c r="C992" s="1" t="s">
        <v>45</v>
      </c>
      <c r="D992" s="1" t="s">
        <v>105</v>
      </c>
      <c r="E992" s="1">
        <v>2414300</v>
      </c>
      <c r="F992" s="1">
        <v>689800</v>
      </c>
      <c r="G992" s="1">
        <v>1724500</v>
      </c>
      <c r="H992" s="1">
        <v>724290</v>
      </c>
      <c r="I992" s="1">
        <v>1000210</v>
      </c>
    </row>
    <row r="993" spans="1:9" x14ac:dyDescent="0.25">
      <c r="A993" s="2" t="s">
        <v>103</v>
      </c>
      <c r="B993" s="2" t="s">
        <v>44</v>
      </c>
      <c r="C993" s="2" t="s">
        <v>46</v>
      </c>
      <c r="D993" s="2" t="s">
        <v>105</v>
      </c>
      <c r="E993" s="2">
        <v>337350</v>
      </c>
      <c r="F993" s="2">
        <v>2050050</v>
      </c>
      <c r="G993" s="2">
        <v>1115850</v>
      </c>
      <c r="H993" s="2">
        <v>1868400</v>
      </c>
      <c r="I993" s="2">
        <v>1453200</v>
      </c>
    </row>
    <row r="994" spans="1:9" x14ac:dyDescent="0.25">
      <c r="A994" s="1" t="s">
        <v>103</v>
      </c>
      <c r="B994" s="1" t="s">
        <v>44</v>
      </c>
      <c r="C994" s="1" t="s">
        <v>47</v>
      </c>
      <c r="D994" s="1" t="s">
        <v>105</v>
      </c>
      <c r="E994" s="1">
        <v>1391420</v>
      </c>
      <c r="F994" s="1">
        <v>1847230</v>
      </c>
      <c r="G994" s="1">
        <v>2183090</v>
      </c>
      <c r="H994" s="1">
        <v>575760</v>
      </c>
      <c r="I994" s="1">
        <v>599750</v>
      </c>
    </row>
    <row r="995" spans="1:9" x14ac:dyDescent="0.25">
      <c r="A995" s="2" t="s">
        <v>103</v>
      </c>
      <c r="B995" s="2" t="s">
        <v>44</v>
      </c>
      <c r="C995" s="2" t="s">
        <v>48</v>
      </c>
      <c r="D995" s="2" t="s">
        <v>105</v>
      </c>
      <c r="E995" s="2">
        <v>769930</v>
      </c>
      <c r="F995" s="2">
        <v>681938</v>
      </c>
      <c r="G995" s="2">
        <v>395964</v>
      </c>
      <c r="H995" s="2">
        <v>1066903</v>
      </c>
      <c r="I995" s="2">
        <v>978911</v>
      </c>
    </row>
    <row r="996" spans="1:9" x14ac:dyDescent="0.25">
      <c r="A996" s="1" t="s">
        <v>103</v>
      </c>
      <c r="B996" s="1" t="s">
        <v>44</v>
      </c>
      <c r="C996" s="1" t="s">
        <v>49</v>
      </c>
      <c r="D996" s="1" t="s">
        <v>105</v>
      </c>
      <c r="E996" s="1">
        <v>2975000</v>
      </c>
      <c r="F996" s="1">
        <v>735000</v>
      </c>
      <c r="G996" s="1">
        <v>2625000</v>
      </c>
      <c r="H996" s="1">
        <v>1295000</v>
      </c>
      <c r="I996" s="1">
        <v>3255000</v>
      </c>
    </row>
    <row r="997" spans="1:9" x14ac:dyDescent="0.25">
      <c r="A997" s="2" t="s">
        <v>103</v>
      </c>
      <c r="B997" s="2" t="s">
        <v>44</v>
      </c>
      <c r="C997" s="2" t="s">
        <v>50</v>
      </c>
      <c r="D997" s="2" t="s">
        <v>105</v>
      </c>
      <c r="E997" s="2">
        <v>762439</v>
      </c>
      <c r="F997" s="2">
        <v>687445</v>
      </c>
      <c r="G997" s="2">
        <v>899928</v>
      </c>
      <c r="H997" s="2">
        <v>437465</v>
      </c>
      <c r="I997" s="2">
        <v>674946</v>
      </c>
    </row>
    <row r="998" spans="1:9" x14ac:dyDescent="0.25">
      <c r="A998" s="1" t="s">
        <v>103</v>
      </c>
      <c r="B998" s="1" t="s">
        <v>44</v>
      </c>
      <c r="C998" s="1" t="s">
        <v>51</v>
      </c>
      <c r="D998" s="1" t="s">
        <v>105</v>
      </c>
      <c r="E998" s="1">
        <v>355200</v>
      </c>
      <c r="F998" s="1">
        <v>888000</v>
      </c>
      <c r="G998" s="1">
        <v>1864800</v>
      </c>
      <c r="H998" s="1">
        <v>1805600</v>
      </c>
      <c r="I998" s="1">
        <v>1657600</v>
      </c>
    </row>
    <row r="999" spans="1:9" x14ac:dyDescent="0.25">
      <c r="A999" s="2" t="s">
        <v>103</v>
      </c>
      <c r="B999" s="2" t="s">
        <v>44</v>
      </c>
      <c r="C999" s="2" t="s">
        <v>52</v>
      </c>
      <c r="D999" s="2" t="s">
        <v>105</v>
      </c>
      <c r="E999" s="2">
        <v>338000</v>
      </c>
      <c r="F999" s="2">
        <v>1287000</v>
      </c>
      <c r="G999" s="2">
        <v>208000</v>
      </c>
      <c r="H999" s="2">
        <v>1144000</v>
      </c>
      <c r="I999" s="2">
        <v>455000</v>
      </c>
    </row>
    <row r="1000" spans="1:9" x14ac:dyDescent="0.25">
      <c r="A1000" s="1" t="s">
        <v>103</v>
      </c>
      <c r="B1000" s="1" t="s">
        <v>44</v>
      </c>
      <c r="C1000" s="1" t="s">
        <v>53</v>
      </c>
      <c r="D1000" s="1" t="s">
        <v>105</v>
      </c>
      <c r="E1000" s="1">
        <v>552640</v>
      </c>
      <c r="F1000" s="1">
        <v>2210560</v>
      </c>
      <c r="G1000" s="1">
        <v>452160</v>
      </c>
      <c r="H1000" s="1">
        <v>2059840</v>
      </c>
      <c r="I1000" s="1">
        <v>1934240</v>
      </c>
    </row>
    <row r="1001" spans="1:9" x14ac:dyDescent="0.25">
      <c r="A1001" s="2" t="s">
        <v>103</v>
      </c>
      <c r="B1001" s="2" t="s">
        <v>44</v>
      </c>
      <c r="C1001" s="2" t="s">
        <v>54</v>
      </c>
      <c r="D1001" s="2" t="s">
        <v>105</v>
      </c>
      <c r="E1001" s="2">
        <v>1779318</v>
      </c>
      <c r="F1001" s="2">
        <v>1605726</v>
      </c>
      <c r="G1001" s="2">
        <v>650970</v>
      </c>
      <c r="H1001" s="2">
        <v>520776</v>
      </c>
      <c r="I1001" s="2">
        <v>1866114</v>
      </c>
    </row>
    <row r="1002" spans="1:9" x14ac:dyDescent="0.25">
      <c r="A1002" s="1" t="s">
        <v>103</v>
      </c>
      <c r="B1002" s="1" t="s">
        <v>55</v>
      </c>
      <c r="C1002" s="1" t="s">
        <v>56</v>
      </c>
      <c r="D1002" s="1" t="s">
        <v>105</v>
      </c>
      <c r="E1002" s="1">
        <v>696590</v>
      </c>
      <c r="F1002" s="1">
        <v>220870</v>
      </c>
      <c r="G1002" s="1">
        <v>543680</v>
      </c>
      <c r="H1002" s="1">
        <v>509700</v>
      </c>
      <c r="I1002" s="1">
        <v>883480</v>
      </c>
    </row>
    <row r="1003" spans="1:9" x14ac:dyDescent="0.25">
      <c r="A1003" s="2" t="s">
        <v>103</v>
      </c>
      <c r="B1003" s="2" t="s">
        <v>55</v>
      </c>
      <c r="C1003" s="2" t="s">
        <v>57</v>
      </c>
      <c r="D1003" s="2" t="s">
        <v>105</v>
      </c>
      <c r="E1003" s="2">
        <v>1018403</v>
      </c>
      <c r="F1003" s="2">
        <v>440958</v>
      </c>
      <c r="G1003" s="2">
        <v>125988</v>
      </c>
      <c r="H1003" s="2">
        <v>619441</v>
      </c>
      <c r="I1003" s="2">
        <v>503952</v>
      </c>
    </row>
    <row r="1004" spans="1:9" x14ac:dyDescent="0.25">
      <c r="A1004" s="1" t="s">
        <v>103</v>
      </c>
      <c r="B1004" s="1" t="s">
        <v>55</v>
      </c>
      <c r="C1004" s="1" t="s">
        <v>58</v>
      </c>
      <c r="D1004" s="1" t="s">
        <v>105</v>
      </c>
      <c r="E1004" s="1">
        <v>1479800</v>
      </c>
      <c r="F1004" s="1">
        <v>3020000</v>
      </c>
      <c r="G1004" s="1">
        <v>2416000</v>
      </c>
      <c r="H1004" s="1">
        <v>755000</v>
      </c>
      <c r="I1004" s="1">
        <v>936200</v>
      </c>
    </row>
    <row r="1005" spans="1:9" x14ac:dyDescent="0.25">
      <c r="A1005" s="2" t="s">
        <v>103</v>
      </c>
      <c r="B1005" s="2" t="s">
        <v>55</v>
      </c>
      <c r="C1005" s="2" t="s">
        <v>59</v>
      </c>
      <c r="D1005" s="2" t="s">
        <v>105</v>
      </c>
      <c r="E1005" s="2">
        <v>989901</v>
      </c>
      <c r="F1005" s="2">
        <v>329967</v>
      </c>
      <c r="G1005" s="2">
        <v>389961</v>
      </c>
      <c r="H1005" s="2">
        <v>349965</v>
      </c>
      <c r="I1005" s="2">
        <v>309969</v>
      </c>
    </row>
    <row r="1006" spans="1:9" x14ac:dyDescent="0.25">
      <c r="A1006" s="1" t="s">
        <v>103</v>
      </c>
      <c r="B1006" s="1" t="s">
        <v>55</v>
      </c>
      <c r="C1006" s="1" t="s">
        <v>60</v>
      </c>
      <c r="D1006" s="1" t="s">
        <v>105</v>
      </c>
      <c r="E1006" s="1">
        <v>172782</v>
      </c>
      <c r="F1006" s="1">
        <v>758321</v>
      </c>
      <c r="G1006" s="1">
        <v>844712</v>
      </c>
      <c r="H1006" s="1">
        <v>566341</v>
      </c>
      <c r="I1006" s="1">
        <v>412757</v>
      </c>
    </row>
    <row r="1007" spans="1:9" x14ac:dyDescent="0.25">
      <c r="A1007" s="2" t="s">
        <v>103</v>
      </c>
      <c r="B1007" s="2" t="s">
        <v>55</v>
      </c>
      <c r="C1007" s="2" t="s">
        <v>61</v>
      </c>
      <c r="D1007" s="2" t="s">
        <v>105</v>
      </c>
      <c r="E1007" s="2">
        <v>1025946</v>
      </c>
      <c r="F1007" s="2">
        <v>1842903</v>
      </c>
      <c r="G1007" s="2">
        <v>1367928</v>
      </c>
      <c r="H1007" s="2">
        <v>1842903</v>
      </c>
      <c r="I1007" s="2">
        <v>721962</v>
      </c>
    </row>
    <row r="1008" spans="1:9" x14ac:dyDescent="0.25">
      <c r="A1008" s="1" t="s">
        <v>103</v>
      </c>
      <c r="B1008" s="1" t="s">
        <v>55</v>
      </c>
      <c r="C1008" s="1" t="s">
        <v>62</v>
      </c>
      <c r="D1008" s="1" t="s">
        <v>105</v>
      </c>
      <c r="E1008" s="1">
        <v>459977</v>
      </c>
      <c r="F1008" s="1">
        <v>439978</v>
      </c>
      <c r="G1008" s="1">
        <v>1699915</v>
      </c>
      <c r="H1008" s="1">
        <v>1179941</v>
      </c>
      <c r="I1008" s="1">
        <v>579971</v>
      </c>
    </row>
    <row r="1009" spans="1:9" x14ac:dyDescent="0.25">
      <c r="A1009" s="2" t="s">
        <v>103</v>
      </c>
      <c r="B1009" s="2" t="s">
        <v>55</v>
      </c>
      <c r="C1009" s="2" t="s">
        <v>63</v>
      </c>
      <c r="D1009" s="2" t="s">
        <v>105</v>
      </c>
      <c r="E1009" s="2">
        <v>338040</v>
      </c>
      <c r="F1009" s="2">
        <v>582180</v>
      </c>
      <c r="G1009" s="2">
        <v>845100</v>
      </c>
      <c r="H1009" s="2">
        <v>666690</v>
      </c>
      <c r="I1009" s="2">
        <v>535230</v>
      </c>
    </row>
    <row r="1010" spans="1:9" x14ac:dyDescent="0.25">
      <c r="A1010" s="1" t="s">
        <v>103</v>
      </c>
      <c r="B1010" s="1" t="s">
        <v>55</v>
      </c>
      <c r="C1010" s="1" t="s">
        <v>64</v>
      </c>
      <c r="D1010" s="1" t="s">
        <v>105</v>
      </c>
      <c r="E1010" s="1">
        <v>1050000</v>
      </c>
      <c r="F1010" s="1">
        <v>1176000</v>
      </c>
      <c r="G1010" s="1">
        <v>1617000</v>
      </c>
      <c r="H1010" s="1">
        <v>756000</v>
      </c>
      <c r="I1010" s="1">
        <v>1533000</v>
      </c>
    </row>
    <row r="1011" spans="1:9" x14ac:dyDescent="0.25">
      <c r="A1011" s="2" t="s">
        <v>103</v>
      </c>
      <c r="B1011" s="2" t="s">
        <v>55</v>
      </c>
      <c r="C1011" s="2" t="s">
        <v>65</v>
      </c>
      <c r="D1011" s="2" t="s">
        <v>105</v>
      </c>
      <c r="E1011" s="2">
        <v>275000</v>
      </c>
      <c r="F1011" s="2">
        <v>2275000</v>
      </c>
      <c r="G1011" s="2">
        <v>1025000</v>
      </c>
      <c r="H1011" s="2">
        <v>1100000</v>
      </c>
      <c r="I1011" s="2">
        <v>2325000</v>
      </c>
    </row>
    <row r="1012" spans="1:9" x14ac:dyDescent="0.25">
      <c r="A1012" s="1" t="s">
        <v>103</v>
      </c>
      <c r="B1012" s="1" t="s">
        <v>66</v>
      </c>
      <c r="C1012" s="1" t="s">
        <v>67</v>
      </c>
      <c r="D1012" s="1" t="s">
        <v>105</v>
      </c>
      <c r="E1012" s="1">
        <v>2655917</v>
      </c>
      <c r="F1012" s="1">
        <v>1983938</v>
      </c>
      <c r="G1012" s="1">
        <v>2047936</v>
      </c>
      <c r="H1012" s="1">
        <v>3199900</v>
      </c>
      <c r="I1012" s="1">
        <v>3103903</v>
      </c>
    </row>
    <row r="1013" spans="1:9" x14ac:dyDescent="0.25">
      <c r="A1013" s="2" t="s">
        <v>103</v>
      </c>
      <c r="B1013" s="2" t="s">
        <v>66</v>
      </c>
      <c r="C1013" s="2" t="s">
        <v>68</v>
      </c>
      <c r="D1013" s="2" t="s">
        <v>105</v>
      </c>
      <c r="E1013" s="2">
        <v>1350458</v>
      </c>
      <c r="F1013" s="2">
        <v>609353</v>
      </c>
      <c r="G1013" s="2">
        <v>197628</v>
      </c>
      <c r="H1013" s="2">
        <v>856388</v>
      </c>
      <c r="I1013" s="2">
        <v>1449272</v>
      </c>
    </row>
    <row r="1014" spans="1:9" x14ac:dyDescent="0.25">
      <c r="A1014" s="1" t="s">
        <v>103</v>
      </c>
      <c r="B1014" s="1" t="s">
        <v>66</v>
      </c>
      <c r="C1014" s="1" t="s">
        <v>69</v>
      </c>
      <c r="D1014" s="1" t="s">
        <v>105</v>
      </c>
      <c r="E1014" s="1">
        <v>329756</v>
      </c>
      <c r="F1014" s="1">
        <v>1036376</v>
      </c>
      <c r="G1014" s="1">
        <v>1036376</v>
      </c>
      <c r="H1014" s="1">
        <v>1024599</v>
      </c>
      <c r="I1014" s="1">
        <v>588850</v>
      </c>
    </row>
    <row r="1015" spans="1:9" x14ac:dyDescent="0.25">
      <c r="A1015" s="2" t="s">
        <v>103</v>
      </c>
      <c r="B1015" s="2" t="s">
        <v>66</v>
      </c>
      <c r="C1015" s="2" t="s">
        <v>70</v>
      </c>
      <c r="D1015" s="2" t="s">
        <v>105</v>
      </c>
      <c r="E1015" s="2">
        <v>450415</v>
      </c>
      <c r="F1015" s="2">
        <v>84784</v>
      </c>
      <c r="G1015" s="2">
        <v>471611</v>
      </c>
      <c r="H1015" s="2">
        <v>227857</v>
      </c>
      <c r="I1015" s="2">
        <v>116578</v>
      </c>
    </row>
    <row r="1016" spans="1:9" x14ac:dyDescent="0.25">
      <c r="A1016" s="1" t="s">
        <v>103</v>
      </c>
      <c r="B1016" s="1" t="s">
        <v>66</v>
      </c>
      <c r="C1016" s="1" t="s">
        <v>71</v>
      </c>
      <c r="D1016" s="1" t="s">
        <v>105</v>
      </c>
      <c r="E1016" s="1">
        <v>694200</v>
      </c>
      <c r="F1016" s="1">
        <v>436100</v>
      </c>
      <c r="G1016" s="1">
        <v>302600</v>
      </c>
      <c r="H1016" s="1">
        <v>418300</v>
      </c>
      <c r="I1016" s="1">
        <v>195800</v>
      </c>
    </row>
    <row r="1017" spans="1:9" x14ac:dyDescent="0.25">
      <c r="A1017" s="2" t="s">
        <v>103</v>
      </c>
      <c r="B1017" s="2" t="s">
        <v>66</v>
      </c>
      <c r="C1017" s="2" t="s">
        <v>72</v>
      </c>
      <c r="D1017" s="2" t="s">
        <v>105</v>
      </c>
      <c r="E1017" s="2">
        <v>223240</v>
      </c>
      <c r="F1017" s="2">
        <v>781340</v>
      </c>
      <c r="G1017" s="2">
        <v>647396</v>
      </c>
      <c r="H1017" s="2">
        <v>915284</v>
      </c>
      <c r="I1017" s="2">
        <v>982256</v>
      </c>
    </row>
    <row r="1018" spans="1:9" x14ac:dyDescent="0.25">
      <c r="A1018" s="1" t="s">
        <v>103</v>
      </c>
      <c r="B1018" s="1" t="s">
        <v>66</v>
      </c>
      <c r="C1018" s="1" t="s">
        <v>73</v>
      </c>
      <c r="D1018" s="1" t="s">
        <v>105</v>
      </c>
      <c r="E1018" s="1">
        <v>1507420</v>
      </c>
      <c r="F1018" s="1">
        <v>1819300</v>
      </c>
      <c r="G1018" s="1">
        <v>1819300</v>
      </c>
      <c r="H1018" s="1">
        <v>1507420</v>
      </c>
      <c r="I1018" s="1">
        <v>2261130</v>
      </c>
    </row>
    <row r="1019" spans="1:9" x14ac:dyDescent="0.25">
      <c r="A1019" s="2" t="s">
        <v>103</v>
      </c>
      <c r="B1019" s="2" t="s">
        <v>66</v>
      </c>
      <c r="C1019" s="2" t="s">
        <v>74</v>
      </c>
      <c r="D1019" s="2" t="s">
        <v>105</v>
      </c>
      <c r="E1019" s="2">
        <v>1280000</v>
      </c>
      <c r="F1019" s="2">
        <v>1360000</v>
      </c>
      <c r="G1019" s="2">
        <v>1260000</v>
      </c>
      <c r="H1019" s="2">
        <v>1360000</v>
      </c>
      <c r="I1019" s="2">
        <v>1120000</v>
      </c>
    </row>
    <row r="1020" spans="1:9" x14ac:dyDescent="0.25">
      <c r="A1020" s="1" t="s">
        <v>103</v>
      </c>
      <c r="B1020" s="1" t="s">
        <v>66</v>
      </c>
      <c r="C1020" s="1" t="s">
        <v>75</v>
      </c>
      <c r="D1020" s="1" t="s">
        <v>105</v>
      </c>
      <c r="E1020" s="1">
        <v>1407000</v>
      </c>
      <c r="F1020" s="1">
        <v>1386000</v>
      </c>
      <c r="G1020" s="1">
        <v>651000</v>
      </c>
      <c r="H1020" s="1">
        <v>672000</v>
      </c>
      <c r="I1020" s="1">
        <v>1722000</v>
      </c>
    </row>
    <row r="1021" spans="1:9" x14ac:dyDescent="0.25">
      <c r="A1021" s="2" t="s">
        <v>103</v>
      </c>
      <c r="B1021" s="2" t="s">
        <v>66</v>
      </c>
      <c r="C1021" s="2" t="s">
        <v>76</v>
      </c>
      <c r="D1021" s="2" t="s">
        <v>105</v>
      </c>
      <c r="E1021" s="2">
        <v>1210000</v>
      </c>
      <c r="F1021" s="2">
        <v>726000</v>
      </c>
      <c r="G1021" s="2">
        <v>2024000</v>
      </c>
      <c r="H1021" s="2">
        <v>616000</v>
      </c>
      <c r="I1021" s="2">
        <v>1408000</v>
      </c>
    </row>
    <row r="1022" spans="1:9" x14ac:dyDescent="0.25">
      <c r="A1022" s="1" t="s">
        <v>103</v>
      </c>
      <c r="B1022" s="1" t="s">
        <v>77</v>
      </c>
      <c r="C1022" s="1" t="s">
        <v>78</v>
      </c>
      <c r="D1022" s="1" t="s">
        <v>105</v>
      </c>
      <c r="E1022" s="1">
        <v>1296050</v>
      </c>
      <c r="F1022" s="1">
        <v>555450</v>
      </c>
      <c r="G1022" s="1">
        <v>2539200</v>
      </c>
      <c r="H1022" s="1">
        <v>1560550</v>
      </c>
      <c r="I1022" s="1">
        <v>1825050</v>
      </c>
    </row>
    <row r="1023" spans="1:9" x14ac:dyDescent="0.25">
      <c r="A1023" s="2" t="s">
        <v>103</v>
      </c>
      <c r="B1023" s="2" t="s">
        <v>77</v>
      </c>
      <c r="C1023" s="2" t="s">
        <v>79</v>
      </c>
      <c r="D1023" s="2" t="s">
        <v>105</v>
      </c>
      <c r="E1023" s="2">
        <v>1922466</v>
      </c>
      <c r="F1023" s="2">
        <v>1608594</v>
      </c>
      <c r="G1023" s="2">
        <v>1275105</v>
      </c>
      <c r="H1023" s="2">
        <v>1667445</v>
      </c>
      <c r="I1023" s="2">
        <v>1628211</v>
      </c>
    </row>
    <row r="1024" spans="1:9" x14ac:dyDescent="0.25">
      <c r="A1024" s="1" t="s">
        <v>103</v>
      </c>
      <c r="B1024" s="1" t="s">
        <v>77</v>
      </c>
      <c r="C1024" s="1" t="s">
        <v>80</v>
      </c>
      <c r="D1024" s="1" t="s">
        <v>105</v>
      </c>
      <c r="E1024" s="1">
        <v>2754240</v>
      </c>
      <c r="F1024" s="1">
        <v>1090220</v>
      </c>
      <c r="G1024" s="1">
        <v>2409960</v>
      </c>
      <c r="H1024" s="1">
        <v>2496030</v>
      </c>
      <c r="I1024" s="1">
        <v>2668170</v>
      </c>
    </row>
    <row r="1025" spans="1:9" x14ac:dyDescent="0.25">
      <c r="A1025" s="2" t="s">
        <v>103</v>
      </c>
      <c r="B1025" s="2" t="s">
        <v>77</v>
      </c>
      <c r="C1025" s="2" t="s">
        <v>81</v>
      </c>
      <c r="D1025" s="2" t="s">
        <v>105</v>
      </c>
      <c r="E1025" s="2">
        <v>1671120</v>
      </c>
      <c r="F1025" s="2">
        <v>550710</v>
      </c>
      <c r="G1025" s="2">
        <v>455760</v>
      </c>
      <c r="H1025" s="2">
        <v>1177380</v>
      </c>
      <c r="I1025" s="2">
        <v>1766070</v>
      </c>
    </row>
    <row r="1026" spans="1:9" x14ac:dyDescent="0.25">
      <c r="A1026" s="1" t="s">
        <v>103</v>
      </c>
      <c r="B1026" s="1" t="s">
        <v>77</v>
      </c>
      <c r="C1026" s="1" t="s">
        <v>82</v>
      </c>
      <c r="D1026" s="1" t="s">
        <v>105</v>
      </c>
      <c r="E1026" s="1">
        <v>499360</v>
      </c>
      <c r="F1026" s="1">
        <v>1217190</v>
      </c>
      <c r="G1026" s="1">
        <v>499360</v>
      </c>
      <c r="H1026" s="1">
        <v>3089790</v>
      </c>
      <c r="I1026" s="1">
        <v>2403170</v>
      </c>
    </row>
    <row r="1027" spans="1:9" x14ac:dyDescent="0.25">
      <c r="A1027" s="2" t="s">
        <v>103</v>
      </c>
      <c r="B1027" s="2" t="s">
        <v>77</v>
      </c>
      <c r="C1027" s="2" t="s">
        <v>83</v>
      </c>
      <c r="D1027" s="2" t="s">
        <v>105</v>
      </c>
      <c r="E1027" s="2">
        <v>433680</v>
      </c>
      <c r="F1027" s="2">
        <v>3002400</v>
      </c>
      <c r="G1027" s="2">
        <v>1601280</v>
      </c>
      <c r="H1027" s="2">
        <v>2868960</v>
      </c>
      <c r="I1027" s="2">
        <v>1334400</v>
      </c>
    </row>
    <row r="1028" spans="1:9" x14ac:dyDescent="0.25">
      <c r="A1028" s="1" t="s">
        <v>103</v>
      </c>
      <c r="B1028" s="1" t="s">
        <v>77</v>
      </c>
      <c r="C1028" s="1" t="s">
        <v>84</v>
      </c>
      <c r="D1028" s="1" t="s">
        <v>105</v>
      </c>
      <c r="E1028" s="1">
        <v>1939903</v>
      </c>
      <c r="F1028" s="1">
        <v>759962</v>
      </c>
      <c r="G1028" s="1">
        <v>1599920</v>
      </c>
      <c r="H1028" s="1">
        <v>319984</v>
      </c>
      <c r="I1028" s="1">
        <v>439978</v>
      </c>
    </row>
    <row r="1029" spans="1:9" x14ac:dyDescent="0.25">
      <c r="A1029" s="2" t="s">
        <v>103</v>
      </c>
      <c r="B1029" s="2" t="s">
        <v>77</v>
      </c>
      <c r="C1029" s="2" t="s">
        <v>85</v>
      </c>
      <c r="D1029" s="2" t="s">
        <v>105</v>
      </c>
      <c r="E1029" s="2">
        <v>1606150</v>
      </c>
      <c r="F1029" s="2">
        <v>1376700</v>
      </c>
      <c r="G1029" s="2">
        <v>511850</v>
      </c>
      <c r="H1029" s="2">
        <v>1464950</v>
      </c>
      <c r="I1029" s="2">
        <v>635400</v>
      </c>
    </row>
    <row r="1030" spans="1:9" x14ac:dyDescent="0.25">
      <c r="A1030" s="1" t="s">
        <v>103</v>
      </c>
      <c r="B1030" s="1" t="s">
        <v>77</v>
      </c>
      <c r="C1030" s="1" t="s">
        <v>86</v>
      </c>
      <c r="D1030" s="1" t="s">
        <v>105</v>
      </c>
      <c r="E1030" s="1">
        <v>942400</v>
      </c>
      <c r="F1030" s="1">
        <v>1200800</v>
      </c>
      <c r="G1030" s="1">
        <v>1307200</v>
      </c>
      <c r="H1030" s="1">
        <v>896800</v>
      </c>
      <c r="I1030" s="1">
        <v>623200</v>
      </c>
    </row>
    <row r="1031" spans="1:9" x14ac:dyDescent="0.25">
      <c r="A1031" s="2" t="s">
        <v>103</v>
      </c>
      <c r="B1031" s="2" t="s">
        <v>77</v>
      </c>
      <c r="C1031" s="2" t="s">
        <v>87</v>
      </c>
      <c r="D1031" s="2" t="s">
        <v>105</v>
      </c>
      <c r="E1031" s="2">
        <v>1836000</v>
      </c>
      <c r="F1031" s="2">
        <v>1652400</v>
      </c>
      <c r="G1031" s="2">
        <v>321300</v>
      </c>
      <c r="H1031" s="2">
        <v>367200</v>
      </c>
      <c r="I1031" s="2">
        <v>481950</v>
      </c>
    </row>
    <row r="1032" spans="1:9" x14ac:dyDescent="0.25">
      <c r="A1032" s="1" t="s">
        <v>103</v>
      </c>
      <c r="B1032" s="1" t="s">
        <v>88</v>
      </c>
      <c r="C1032" s="1" t="s">
        <v>89</v>
      </c>
      <c r="D1032" s="1" t="s">
        <v>105</v>
      </c>
      <c r="E1032" s="1">
        <v>3392500</v>
      </c>
      <c r="F1032" s="1">
        <v>1840000</v>
      </c>
      <c r="G1032" s="1">
        <v>1035000</v>
      </c>
      <c r="H1032" s="1">
        <v>4427500</v>
      </c>
      <c r="I1032" s="1">
        <v>747500</v>
      </c>
    </row>
    <row r="1033" spans="1:9" x14ac:dyDescent="0.25">
      <c r="A1033" s="2" t="s">
        <v>103</v>
      </c>
      <c r="B1033" s="2" t="s">
        <v>88</v>
      </c>
      <c r="C1033" s="2" t="s">
        <v>90</v>
      </c>
      <c r="D1033" s="2" t="s">
        <v>105</v>
      </c>
      <c r="E1033" s="2">
        <v>3817500</v>
      </c>
      <c r="F1033" s="2">
        <v>2850400</v>
      </c>
      <c r="G1033" s="2">
        <v>3613900</v>
      </c>
      <c r="H1033" s="2">
        <v>2188700</v>
      </c>
      <c r="I1033" s="2">
        <v>2239600</v>
      </c>
    </row>
    <row r="1034" spans="1:9" x14ac:dyDescent="0.25">
      <c r="A1034" s="1" t="s">
        <v>103</v>
      </c>
      <c r="B1034" s="1" t="s">
        <v>88</v>
      </c>
      <c r="C1034" s="1" t="s">
        <v>91</v>
      </c>
      <c r="D1034" s="1" t="s">
        <v>105</v>
      </c>
      <c r="E1034" s="1">
        <v>801000</v>
      </c>
      <c r="F1034" s="1">
        <v>1290500</v>
      </c>
      <c r="G1034" s="1">
        <v>3649000</v>
      </c>
      <c r="H1034" s="1">
        <v>4005000</v>
      </c>
      <c r="I1034" s="1">
        <v>534000</v>
      </c>
    </row>
    <row r="1035" spans="1:9" x14ac:dyDescent="0.25">
      <c r="A1035" s="2" t="s">
        <v>103</v>
      </c>
      <c r="B1035" s="2" t="s">
        <v>88</v>
      </c>
      <c r="C1035" s="2" t="s">
        <v>92</v>
      </c>
      <c r="D1035" s="2" t="s">
        <v>105</v>
      </c>
      <c r="E1035" s="2">
        <v>2311900</v>
      </c>
      <c r="F1035" s="2">
        <v>2008700</v>
      </c>
      <c r="G1035" s="2">
        <v>1023300</v>
      </c>
      <c r="H1035" s="2">
        <v>985400</v>
      </c>
      <c r="I1035" s="2">
        <v>2122400</v>
      </c>
    </row>
    <row r="1036" spans="1:9" x14ac:dyDescent="0.25">
      <c r="A1036" s="1" t="s">
        <v>103</v>
      </c>
      <c r="B1036" s="1" t="s">
        <v>88</v>
      </c>
      <c r="C1036" s="1" t="s">
        <v>93</v>
      </c>
      <c r="D1036" s="1" t="s">
        <v>105</v>
      </c>
      <c r="E1036" s="1">
        <v>1091500</v>
      </c>
      <c r="F1036" s="1">
        <v>560500</v>
      </c>
      <c r="G1036" s="1">
        <v>1799500</v>
      </c>
      <c r="H1036" s="1">
        <v>1917500</v>
      </c>
      <c r="I1036" s="1">
        <v>1917500</v>
      </c>
    </row>
    <row r="1037" spans="1:9" x14ac:dyDescent="0.25">
      <c r="A1037" s="2" t="s">
        <v>103</v>
      </c>
      <c r="B1037" s="2" t="s">
        <v>88</v>
      </c>
      <c r="C1037" s="2" t="s">
        <v>94</v>
      </c>
      <c r="D1037" s="2" t="s">
        <v>105</v>
      </c>
      <c r="E1037" s="2">
        <v>2622000</v>
      </c>
      <c r="F1037" s="2">
        <v>1932000</v>
      </c>
      <c r="G1037" s="2">
        <v>2622000</v>
      </c>
      <c r="H1037" s="2">
        <v>3001500</v>
      </c>
      <c r="I1037" s="2">
        <v>1104000</v>
      </c>
    </row>
    <row r="1038" spans="1:9" x14ac:dyDescent="0.25">
      <c r="A1038" s="1" t="s">
        <v>103</v>
      </c>
      <c r="B1038" s="1" t="s">
        <v>88</v>
      </c>
      <c r="C1038" s="1" t="s">
        <v>95</v>
      </c>
      <c r="D1038" s="1" t="s">
        <v>105</v>
      </c>
      <c r="E1038" s="1">
        <v>2725500</v>
      </c>
      <c r="F1038" s="1">
        <v>3081000</v>
      </c>
      <c r="G1038" s="1">
        <v>2686000</v>
      </c>
      <c r="H1038" s="1">
        <v>3436500</v>
      </c>
      <c r="I1038" s="1">
        <v>3199500</v>
      </c>
    </row>
    <row r="1039" spans="1:9" x14ac:dyDescent="0.25">
      <c r="A1039" s="2" t="s">
        <v>103</v>
      </c>
      <c r="B1039" s="2" t="s">
        <v>88</v>
      </c>
      <c r="C1039" s="2" t="s">
        <v>96</v>
      </c>
      <c r="D1039" s="2" t="s">
        <v>105</v>
      </c>
      <c r="E1039" s="2">
        <v>3690000</v>
      </c>
      <c r="F1039" s="2">
        <v>1070100</v>
      </c>
      <c r="G1039" s="2">
        <v>3579300</v>
      </c>
      <c r="H1039" s="2">
        <v>2250900</v>
      </c>
      <c r="I1039" s="2">
        <v>2250900</v>
      </c>
    </row>
    <row r="1040" spans="1:9" x14ac:dyDescent="0.25">
      <c r="A1040" s="1" t="s">
        <v>103</v>
      </c>
      <c r="B1040" s="1" t="s">
        <v>88</v>
      </c>
      <c r="C1040" s="1" t="s">
        <v>97</v>
      </c>
      <c r="D1040" s="1" t="s">
        <v>105</v>
      </c>
      <c r="E1040" s="1">
        <v>2514000</v>
      </c>
      <c r="F1040" s="1">
        <v>3812900</v>
      </c>
      <c r="G1040" s="1">
        <v>3729100</v>
      </c>
      <c r="H1040" s="1">
        <v>419000</v>
      </c>
      <c r="I1040" s="1">
        <v>2597800</v>
      </c>
    </row>
    <row r="1041" spans="1:9" x14ac:dyDescent="0.25">
      <c r="A1041" s="2" t="s">
        <v>103</v>
      </c>
      <c r="B1041" s="2" t="s">
        <v>88</v>
      </c>
      <c r="C1041" s="2" t="s">
        <v>98</v>
      </c>
      <c r="D1041" s="2" t="s">
        <v>105</v>
      </c>
      <c r="E1041" s="2">
        <v>4361700</v>
      </c>
      <c r="F1041" s="2">
        <v>2063600</v>
      </c>
      <c r="G1041" s="2">
        <v>3658200</v>
      </c>
      <c r="H1041" s="2">
        <v>1313200</v>
      </c>
      <c r="I1041" s="2">
        <v>4643100</v>
      </c>
    </row>
    <row r="1042" spans="1:9" x14ac:dyDescent="0.25">
      <c r="A1042" s="1" t="s">
        <v>104</v>
      </c>
      <c r="B1042" s="1" t="s">
        <v>10</v>
      </c>
      <c r="C1042" s="1" t="s">
        <v>11</v>
      </c>
      <c r="D1042" s="1" t="s">
        <v>105</v>
      </c>
      <c r="E1042" s="1">
        <v>1319956</v>
      </c>
      <c r="F1042" s="1">
        <v>1439952</v>
      </c>
      <c r="G1042" s="1">
        <v>2039932</v>
      </c>
      <c r="H1042" s="1">
        <v>1559948</v>
      </c>
      <c r="I1042" s="1">
        <v>2819906</v>
      </c>
    </row>
    <row r="1043" spans="1:9" x14ac:dyDescent="0.25">
      <c r="A1043" s="2" t="s">
        <v>104</v>
      </c>
      <c r="B1043" s="2" t="s">
        <v>10</v>
      </c>
      <c r="C1043" s="2" t="s">
        <v>13</v>
      </c>
      <c r="D1043" s="2" t="s">
        <v>105</v>
      </c>
      <c r="E1043" s="2">
        <v>219786</v>
      </c>
      <c r="F1043" s="2">
        <v>1146027</v>
      </c>
      <c r="G1043" s="2">
        <v>973338</v>
      </c>
      <c r="H1043" s="2">
        <v>266883</v>
      </c>
      <c r="I1043" s="2">
        <v>1177425</v>
      </c>
    </row>
    <row r="1044" spans="1:9" x14ac:dyDescent="0.25">
      <c r="A1044" s="1" t="s">
        <v>104</v>
      </c>
      <c r="B1044" s="1" t="s">
        <v>10</v>
      </c>
      <c r="C1044" s="1" t="s">
        <v>14</v>
      </c>
      <c r="D1044" s="1" t="s">
        <v>105</v>
      </c>
      <c r="E1044" s="1">
        <v>477180</v>
      </c>
      <c r="F1044" s="1">
        <v>332580</v>
      </c>
      <c r="G1044" s="1">
        <v>679620</v>
      </c>
      <c r="H1044" s="1">
        <v>520560</v>
      </c>
      <c r="I1044" s="1">
        <v>159060</v>
      </c>
    </row>
    <row r="1045" spans="1:9" x14ac:dyDescent="0.25">
      <c r="A1045" s="2" t="s">
        <v>104</v>
      </c>
      <c r="B1045" s="2" t="s">
        <v>10</v>
      </c>
      <c r="C1045" s="2" t="s">
        <v>15</v>
      </c>
      <c r="D1045" s="2" t="s">
        <v>105</v>
      </c>
      <c r="E1045" s="2">
        <v>475972</v>
      </c>
      <c r="F1045" s="2">
        <v>1393918</v>
      </c>
      <c r="G1045" s="2">
        <v>662961</v>
      </c>
      <c r="H1045" s="2">
        <v>1529910</v>
      </c>
      <c r="I1045" s="2">
        <v>832951</v>
      </c>
    </row>
    <row r="1046" spans="1:9" x14ac:dyDescent="0.25">
      <c r="A1046" s="1" t="s">
        <v>104</v>
      </c>
      <c r="B1046" s="1" t="s">
        <v>10</v>
      </c>
      <c r="C1046" s="1" t="s">
        <v>16</v>
      </c>
      <c r="D1046" s="1" t="s">
        <v>105</v>
      </c>
      <c r="E1046" s="1">
        <v>685800</v>
      </c>
      <c r="F1046" s="1">
        <v>695325</v>
      </c>
      <c r="G1046" s="1">
        <v>790575</v>
      </c>
      <c r="H1046" s="1">
        <v>523875</v>
      </c>
      <c r="I1046" s="1">
        <v>180975</v>
      </c>
    </row>
    <row r="1047" spans="1:9" x14ac:dyDescent="0.25">
      <c r="A1047" s="2" t="s">
        <v>104</v>
      </c>
      <c r="B1047" s="2" t="s">
        <v>10</v>
      </c>
      <c r="C1047" s="2" t="s">
        <v>17</v>
      </c>
      <c r="D1047" s="2" t="s">
        <v>105</v>
      </c>
      <c r="E1047" s="2">
        <v>649800</v>
      </c>
      <c r="F1047" s="2">
        <v>376200</v>
      </c>
      <c r="G1047" s="2">
        <v>324900</v>
      </c>
      <c r="H1047" s="2">
        <v>684000</v>
      </c>
      <c r="I1047" s="2">
        <v>273600</v>
      </c>
    </row>
    <row r="1048" spans="1:9" x14ac:dyDescent="0.25">
      <c r="A1048" s="1" t="s">
        <v>104</v>
      </c>
      <c r="B1048" s="1" t="s">
        <v>10</v>
      </c>
      <c r="C1048" s="1" t="s">
        <v>18</v>
      </c>
      <c r="D1048" s="1" t="s">
        <v>105</v>
      </c>
      <c r="E1048" s="1">
        <v>448270</v>
      </c>
      <c r="F1048" s="1">
        <v>857560</v>
      </c>
      <c r="G1048" s="1">
        <v>1617670</v>
      </c>
      <c r="H1048" s="1">
        <v>545720</v>
      </c>
      <c r="I1048" s="1">
        <v>565210</v>
      </c>
    </row>
    <row r="1049" spans="1:9" x14ac:dyDescent="0.25">
      <c r="A1049" s="2" t="s">
        <v>104</v>
      </c>
      <c r="B1049" s="2" t="s">
        <v>10</v>
      </c>
      <c r="C1049" s="2" t="s">
        <v>19</v>
      </c>
      <c r="D1049" s="2" t="s">
        <v>105</v>
      </c>
      <c r="E1049" s="2">
        <v>2201290</v>
      </c>
      <c r="F1049" s="2">
        <v>1572350</v>
      </c>
      <c r="G1049" s="2">
        <v>628940</v>
      </c>
      <c r="H1049" s="2">
        <v>1814250</v>
      </c>
      <c r="I1049" s="2">
        <v>1233690</v>
      </c>
    </row>
    <row r="1050" spans="1:9" x14ac:dyDescent="0.25">
      <c r="A1050" s="1" t="s">
        <v>104</v>
      </c>
      <c r="B1050" s="1" t="s">
        <v>10</v>
      </c>
      <c r="C1050" s="1" t="s">
        <v>20</v>
      </c>
      <c r="D1050" s="1" t="s">
        <v>105</v>
      </c>
      <c r="E1050" s="1">
        <v>487390</v>
      </c>
      <c r="F1050" s="1">
        <v>687140</v>
      </c>
      <c r="G1050" s="1">
        <v>335580</v>
      </c>
      <c r="H1050" s="1">
        <v>679150</v>
      </c>
      <c r="I1050" s="1">
        <v>343570</v>
      </c>
    </row>
    <row r="1051" spans="1:9" x14ac:dyDescent="0.25">
      <c r="A1051" s="2" t="s">
        <v>104</v>
      </c>
      <c r="B1051" s="2" t="s">
        <v>10</v>
      </c>
      <c r="C1051" s="2" t="s">
        <v>21</v>
      </c>
      <c r="D1051" s="2" t="s">
        <v>105</v>
      </c>
      <c r="E1051" s="2">
        <v>781740</v>
      </c>
      <c r="F1051" s="2">
        <v>863550</v>
      </c>
      <c r="G1051" s="2">
        <v>445410</v>
      </c>
      <c r="H1051" s="2">
        <v>281790</v>
      </c>
      <c r="I1051" s="2">
        <v>345420</v>
      </c>
    </row>
    <row r="1052" spans="1:9" x14ac:dyDescent="0.25">
      <c r="A1052" s="1" t="s">
        <v>104</v>
      </c>
      <c r="B1052" s="1" t="s">
        <v>22</v>
      </c>
      <c r="C1052" s="1" t="s">
        <v>23</v>
      </c>
      <c r="D1052" s="1" t="s">
        <v>105</v>
      </c>
      <c r="E1052" s="1">
        <v>176990</v>
      </c>
      <c r="F1052" s="1">
        <v>707960</v>
      </c>
      <c r="G1052" s="1">
        <v>867251</v>
      </c>
      <c r="H1052" s="1">
        <v>1362823</v>
      </c>
      <c r="I1052" s="1">
        <v>230087</v>
      </c>
    </row>
    <row r="1053" spans="1:9" x14ac:dyDescent="0.25">
      <c r="A1053" s="2" t="s">
        <v>104</v>
      </c>
      <c r="B1053" s="2" t="s">
        <v>22</v>
      </c>
      <c r="C1053" s="2" t="s">
        <v>24</v>
      </c>
      <c r="D1053" s="2" t="s">
        <v>105</v>
      </c>
      <c r="E1053" s="2">
        <v>2278914</v>
      </c>
      <c r="F1053" s="2">
        <v>2543904</v>
      </c>
      <c r="G1053" s="2">
        <v>768471</v>
      </c>
      <c r="H1053" s="2">
        <v>741972</v>
      </c>
      <c r="I1053" s="2">
        <v>635976</v>
      </c>
    </row>
    <row r="1054" spans="1:9" x14ac:dyDescent="0.25">
      <c r="A1054" s="1" t="s">
        <v>104</v>
      </c>
      <c r="B1054" s="1" t="s">
        <v>22</v>
      </c>
      <c r="C1054" s="1" t="s">
        <v>25</v>
      </c>
      <c r="D1054" s="1" t="s">
        <v>105</v>
      </c>
      <c r="E1054" s="1">
        <v>914000</v>
      </c>
      <c r="F1054" s="1">
        <v>548400</v>
      </c>
      <c r="G1054" s="1">
        <v>603240</v>
      </c>
      <c r="H1054" s="1">
        <v>731200</v>
      </c>
      <c r="I1054" s="1">
        <v>1023680</v>
      </c>
    </row>
    <row r="1055" spans="1:9" x14ac:dyDescent="0.25">
      <c r="A1055" s="2" t="s">
        <v>104</v>
      </c>
      <c r="B1055" s="2" t="s">
        <v>22</v>
      </c>
      <c r="C1055" s="2" t="s">
        <v>26</v>
      </c>
      <c r="D1055" s="2" t="s">
        <v>105</v>
      </c>
      <c r="E1055" s="2">
        <v>178500</v>
      </c>
      <c r="F1055" s="2">
        <v>506940</v>
      </c>
      <c r="G1055" s="2">
        <v>257040</v>
      </c>
      <c r="H1055" s="2">
        <v>278460</v>
      </c>
      <c r="I1055" s="2">
        <v>571200</v>
      </c>
    </row>
    <row r="1056" spans="1:9" x14ac:dyDescent="0.25">
      <c r="A1056" s="1" t="s">
        <v>104</v>
      </c>
      <c r="B1056" s="1" t="s">
        <v>22</v>
      </c>
      <c r="C1056" s="1" t="s">
        <v>27</v>
      </c>
      <c r="D1056" s="1" t="s">
        <v>105</v>
      </c>
      <c r="E1056" s="1">
        <v>1718820</v>
      </c>
      <c r="F1056" s="1">
        <v>509280</v>
      </c>
      <c r="G1056" s="1">
        <v>1973460</v>
      </c>
      <c r="H1056" s="1">
        <v>954900</v>
      </c>
      <c r="I1056" s="1">
        <v>1814310</v>
      </c>
    </row>
    <row r="1057" spans="1:9" x14ac:dyDescent="0.25">
      <c r="A1057" s="2" t="s">
        <v>104</v>
      </c>
      <c r="B1057" s="2" t="s">
        <v>22</v>
      </c>
      <c r="C1057" s="2" t="s">
        <v>28</v>
      </c>
      <c r="D1057" s="2" t="s">
        <v>105</v>
      </c>
      <c r="E1057" s="2">
        <v>1144500</v>
      </c>
      <c r="F1057" s="2">
        <v>948300</v>
      </c>
      <c r="G1057" s="2">
        <v>981000</v>
      </c>
      <c r="H1057" s="2">
        <v>425100</v>
      </c>
      <c r="I1057" s="2">
        <v>1177200</v>
      </c>
    </row>
    <row r="1058" spans="1:9" x14ac:dyDescent="0.25">
      <c r="A1058" s="1" t="s">
        <v>104</v>
      </c>
      <c r="B1058" s="1" t="s">
        <v>22</v>
      </c>
      <c r="C1058" s="1" t="s">
        <v>29</v>
      </c>
      <c r="D1058" s="1" t="s">
        <v>105</v>
      </c>
      <c r="E1058" s="1">
        <v>1738850</v>
      </c>
      <c r="F1058" s="1">
        <v>1340800</v>
      </c>
      <c r="G1058" s="1">
        <v>356150</v>
      </c>
      <c r="H1058" s="1">
        <v>1717900</v>
      </c>
      <c r="I1058" s="1">
        <v>230450</v>
      </c>
    </row>
    <row r="1059" spans="1:9" x14ac:dyDescent="0.25">
      <c r="A1059" s="2" t="s">
        <v>104</v>
      </c>
      <c r="B1059" s="2" t="s">
        <v>22</v>
      </c>
      <c r="C1059" s="2" t="s">
        <v>30</v>
      </c>
      <c r="D1059" s="2" t="s">
        <v>105</v>
      </c>
      <c r="E1059" s="2">
        <v>1910172</v>
      </c>
      <c r="F1059" s="2">
        <v>1822348</v>
      </c>
      <c r="G1059" s="2">
        <v>1646700</v>
      </c>
      <c r="H1059" s="2">
        <v>2173644</v>
      </c>
      <c r="I1059" s="2">
        <v>395208</v>
      </c>
    </row>
    <row r="1060" spans="1:9" x14ac:dyDescent="0.25">
      <c r="A1060" s="1" t="s">
        <v>104</v>
      </c>
      <c r="B1060" s="1" t="s">
        <v>22</v>
      </c>
      <c r="C1060" s="1" t="s">
        <v>31</v>
      </c>
      <c r="D1060" s="1" t="s">
        <v>105</v>
      </c>
      <c r="E1060" s="1">
        <v>741510</v>
      </c>
      <c r="F1060" s="1">
        <v>599200</v>
      </c>
      <c r="G1060" s="1">
        <v>292110</v>
      </c>
      <c r="H1060" s="1">
        <v>352030</v>
      </c>
      <c r="I1060" s="1">
        <v>262150</v>
      </c>
    </row>
    <row r="1061" spans="1:9" x14ac:dyDescent="0.25">
      <c r="A1061" s="2" t="s">
        <v>104</v>
      </c>
      <c r="B1061" s="2" t="s">
        <v>22</v>
      </c>
      <c r="C1061" s="2" t="s">
        <v>32</v>
      </c>
      <c r="D1061" s="2" t="s">
        <v>105</v>
      </c>
      <c r="E1061" s="2">
        <v>2121750</v>
      </c>
      <c r="F1061" s="2">
        <v>2552250</v>
      </c>
      <c r="G1061" s="2">
        <v>2952000</v>
      </c>
      <c r="H1061" s="2">
        <v>2829000</v>
      </c>
      <c r="I1061" s="2">
        <v>861000</v>
      </c>
    </row>
    <row r="1062" spans="1:9" x14ac:dyDescent="0.25">
      <c r="A1062" s="1" t="s">
        <v>104</v>
      </c>
      <c r="B1062" s="1" t="s">
        <v>33</v>
      </c>
      <c r="C1062" s="1" t="s">
        <v>34</v>
      </c>
      <c r="D1062" s="1" t="s">
        <v>105</v>
      </c>
      <c r="E1062" s="1">
        <v>1131600</v>
      </c>
      <c r="F1062" s="1">
        <v>578100</v>
      </c>
      <c r="G1062" s="1">
        <v>725700</v>
      </c>
      <c r="H1062" s="1">
        <v>762600</v>
      </c>
      <c r="I1062" s="1">
        <v>725700</v>
      </c>
    </row>
    <row r="1063" spans="1:9" x14ac:dyDescent="0.25">
      <c r="A1063" s="2" t="s">
        <v>104</v>
      </c>
      <c r="B1063" s="2" t="s">
        <v>33</v>
      </c>
      <c r="C1063" s="2" t="s">
        <v>35</v>
      </c>
      <c r="D1063" s="2" t="s">
        <v>105</v>
      </c>
      <c r="E1063" s="2">
        <v>924000</v>
      </c>
      <c r="F1063" s="2">
        <v>1316000</v>
      </c>
      <c r="G1063" s="2">
        <v>1764000</v>
      </c>
      <c r="H1063" s="2">
        <v>2044000</v>
      </c>
      <c r="I1063" s="2">
        <v>2268000</v>
      </c>
    </row>
    <row r="1064" spans="1:9" x14ac:dyDescent="0.25">
      <c r="A1064" s="1" t="s">
        <v>104</v>
      </c>
      <c r="B1064" s="1" t="s">
        <v>33</v>
      </c>
      <c r="C1064" s="1" t="s">
        <v>36</v>
      </c>
      <c r="D1064" s="1" t="s">
        <v>105</v>
      </c>
      <c r="E1064" s="1">
        <v>340510</v>
      </c>
      <c r="F1064" s="1">
        <v>240360</v>
      </c>
      <c r="G1064" s="1">
        <v>1722580</v>
      </c>
      <c r="H1064" s="1">
        <v>901350</v>
      </c>
      <c r="I1064" s="1">
        <v>1782670</v>
      </c>
    </row>
    <row r="1065" spans="1:9" x14ac:dyDescent="0.25">
      <c r="A1065" s="2" t="s">
        <v>104</v>
      </c>
      <c r="B1065" s="2" t="s">
        <v>33</v>
      </c>
      <c r="C1065" s="2" t="s">
        <v>37</v>
      </c>
      <c r="D1065" s="2" t="s">
        <v>105</v>
      </c>
      <c r="E1065" s="2">
        <v>574200</v>
      </c>
      <c r="F1065" s="2">
        <v>1445400</v>
      </c>
      <c r="G1065" s="2">
        <v>1544400</v>
      </c>
      <c r="H1065" s="2">
        <v>1346400</v>
      </c>
      <c r="I1065" s="2">
        <v>1643400</v>
      </c>
    </row>
    <row r="1066" spans="1:9" x14ac:dyDescent="0.25">
      <c r="A1066" s="1" t="s">
        <v>104</v>
      </c>
      <c r="B1066" s="1" t="s">
        <v>33</v>
      </c>
      <c r="C1066" s="1" t="s">
        <v>38</v>
      </c>
      <c r="D1066" s="1" t="s">
        <v>105</v>
      </c>
      <c r="E1066" s="1">
        <v>198000</v>
      </c>
      <c r="F1066" s="1">
        <v>540000</v>
      </c>
      <c r="G1066" s="1">
        <v>936000</v>
      </c>
      <c r="H1066" s="1">
        <v>738000</v>
      </c>
      <c r="I1066" s="1">
        <v>1476000</v>
      </c>
    </row>
    <row r="1067" spans="1:9" x14ac:dyDescent="0.25">
      <c r="A1067" s="2" t="s">
        <v>104</v>
      </c>
      <c r="B1067" s="2" t="s">
        <v>33</v>
      </c>
      <c r="C1067" s="2" t="s">
        <v>39</v>
      </c>
      <c r="D1067" s="2" t="s">
        <v>105</v>
      </c>
      <c r="E1067" s="2">
        <v>1556610</v>
      </c>
      <c r="F1067" s="2">
        <v>367290</v>
      </c>
      <c r="G1067" s="2">
        <v>332310</v>
      </c>
      <c r="H1067" s="2">
        <v>1416690</v>
      </c>
      <c r="I1067" s="2">
        <v>1031910</v>
      </c>
    </row>
    <row r="1068" spans="1:9" x14ac:dyDescent="0.25">
      <c r="A1068" s="1" t="s">
        <v>104</v>
      </c>
      <c r="B1068" s="1" t="s">
        <v>33</v>
      </c>
      <c r="C1068" s="1" t="s">
        <v>40</v>
      </c>
      <c r="D1068" s="1" t="s">
        <v>105</v>
      </c>
      <c r="E1068" s="1">
        <v>1375110</v>
      </c>
      <c r="F1068" s="1">
        <v>777840</v>
      </c>
      <c r="G1068" s="1">
        <v>1069530</v>
      </c>
      <c r="H1068" s="1">
        <v>583380</v>
      </c>
      <c r="I1068" s="1">
        <v>736170</v>
      </c>
    </row>
    <row r="1069" spans="1:9" x14ac:dyDescent="0.25">
      <c r="A1069" s="2" t="s">
        <v>104</v>
      </c>
      <c r="B1069" s="2" t="s">
        <v>33</v>
      </c>
      <c r="C1069" s="2" t="s">
        <v>41</v>
      </c>
      <c r="D1069" s="2" t="s">
        <v>105</v>
      </c>
      <c r="E1069" s="2">
        <v>642090</v>
      </c>
      <c r="F1069" s="2">
        <v>1145690</v>
      </c>
      <c r="G1069" s="2">
        <v>1259000</v>
      </c>
      <c r="H1069" s="2">
        <v>1246410</v>
      </c>
      <c r="I1069" s="2">
        <v>276980</v>
      </c>
    </row>
    <row r="1070" spans="1:9" x14ac:dyDescent="0.25">
      <c r="A1070" s="1" t="s">
        <v>104</v>
      </c>
      <c r="B1070" s="1" t="s">
        <v>33</v>
      </c>
      <c r="C1070" s="1" t="s">
        <v>42</v>
      </c>
      <c r="D1070" s="1" t="s">
        <v>105</v>
      </c>
      <c r="E1070" s="1">
        <v>301180</v>
      </c>
      <c r="F1070" s="1">
        <v>225885</v>
      </c>
      <c r="G1070" s="1">
        <v>574980</v>
      </c>
      <c r="H1070" s="1">
        <v>335405</v>
      </c>
      <c r="I1070" s="1">
        <v>123210</v>
      </c>
    </row>
    <row r="1071" spans="1:9" x14ac:dyDescent="0.25">
      <c r="A1071" s="2" t="s">
        <v>104</v>
      </c>
      <c r="B1071" s="2" t="s">
        <v>33</v>
      </c>
      <c r="C1071" s="2" t="s">
        <v>43</v>
      </c>
      <c r="D1071" s="2" t="s">
        <v>105</v>
      </c>
      <c r="E1071" s="2">
        <v>577500</v>
      </c>
      <c r="F1071" s="2">
        <v>225000</v>
      </c>
      <c r="G1071" s="2">
        <v>585000</v>
      </c>
      <c r="H1071" s="2">
        <v>90000</v>
      </c>
      <c r="I1071" s="2">
        <v>315000</v>
      </c>
    </row>
    <row r="1072" spans="1:9" x14ac:dyDescent="0.25">
      <c r="A1072" s="1" t="s">
        <v>104</v>
      </c>
      <c r="B1072" s="1" t="s">
        <v>44</v>
      </c>
      <c r="C1072" s="1" t="s">
        <v>45</v>
      </c>
      <c r="D1072" s="1" t="s">
        <v>105</v>
      </c>
      <c r="E1072" s="1">
        <v>1552050</v>
      </c>
      <c r="F1072" s="1">
        <v>2828180</v>
      </c>
      <c r="G1072" s="1">
        <v>1276130</v>
      </c>
      <c r="H1072" s="1">
        <v>1586540</v>
      </c>
      <c r="I1072" s="1">
        <v>655310</v>
      </c>
    </row>
    <row r="1073" spans="1:9" x14ac:dyDescent="0.25">
      <c r="A1073" s="2" t="s">
        <v>104</v>
      </c>
      <c r="B1073" s="2" t="s">
        <v>44</v>
      </c>
      <c r="C1073" s="2" t="s">
        <v>46</v>
      </c>
      <c r="D1073" s="2" t="s">
        <v>105</v>
      </c>
      <c r="E1073" s="2">
        <v>986100</v>
      </c>
      <c r="F1073" s="2">
        <v>1167750</v>
      </c>
      <c r="G1073" s="2">
        <v>1868400</v>
      </c>
      <c r="H1073" s="2">
        <v>1193700</v>
      </c>
      <c r="I1073" s="2">
        <v>1297500</v>
      </c>
    </row>
    <row r="1074" spans="1:9" x14ac:dyDescent="0.25">
      <c r="A1074" s="1" t="s">
        <v>104</v>
      </c>
      <c r="B1074" s="1" t="s">
        <v>44</v>
      </c>
      <c r="C1074" s="1" t="s">
        <v>47</v>
      </c>
      <c r="D1074" s="1" t="s">
        <v>105</v>
      </c>
      <c r="E1074" s="1">
        <v>1343440</v>
      </c>
      <c r="F1074" s="1">
        <v>1823240</v>
      </c>
      <c r="G1074" s="1">
        <v>1175510</v>
      </c>
      <c r="H1074" s="1">
        <v>2207080</v>
      </c>
      <c r="I1074" s="1">
        <v>383840</v>
      </c>
    </row>
    <row r="1075" spans="1:9" x14ac:dyDescent="0.25">
      <c r="A1075" s="2" t="s">
        <v>104</v>
      </c>
      <c r="B1075" s="2" t="s">
        <v>44</v>
      </c>
      <c r="C1075" s="2" t="s">
        <v>48</v>
      </c>
      <c r="D1075" s="2" t="s">
        <v>105</v>
      </c>
      <c r="E1075" s="2">
        <v>494955</v>
      </c>
      <c r="F1075" s="2">
        <v>274975</v>
      </c>
      <c r="G1075" s="2">
        <v>549950</v>
      </c>
      <c r="H1075" s="2">
        <v>571948</v>
      </c>
      <c r="I1075" s="2">
        <v>780929</v>
      </c>
    </row>
    <row r="1076" spans="1:9" x14ac:dyDescent="0.25">
      <c r="A1076" s="1" t="s">
        <v>104</v>
      </c>
      <c r="B1076" s="1" t="s">
        <v>44</v>
      </c>
      <c r="C1076" s="1" t="s">
        <v>49</v>
      </c>
      <c r="D1076" s="1" t="s">
        <v>105</v>
      </c>
      <c r="E1076" s="1">
        <v>1575000</v>
      </c>
      <c r="F1076" s="1">
        <v>2275000</v>
      </c>
      <c r="G1076" s="1">
        <v>1470000</v>
      </c>
      <c r="H1076" s="1">
        <v>3395000</v>
      </c>
      <c r="I1076" s="1">
        <v>3150000</v>
      </c>
    </row>
    <row r="1077" spans="1:9" x14ac:dyDescent="0.25">
      <c r="A1077" s="2" t="s">
        <v>104</v>
      </c>
      <c r="B1077" s="2" t="s">
        <v>44</v>
      </c>
      <c r="C1077" s="2" t="s">
        <v>50</v>
      </c>
      <c r="D1077" s="2" t="s">
        <v>105</v>
      </c>
      <c r="E1077" s="2">
        <v>662447</v>
      </c>
      <c r="F1077" s="2">
        <v>874930</v>
      </c>
      <c r="G1077" s="2">
        <v>987421</v>
      </c>
      <c r="H1077" s="2">
        <v>524958</v>
      </c>
      <c r="I1077" s="2">
        <v>162487</v>
      </c>
    </row>
    <row r="1078" spans="1:9" x14ac:dyDescent="0.25">
      <c r="A1078" s="1" t="s">
        <v>104</v>
      </c>
      <c r="B1078" s="1" t="s">
        <v>44</v>
      </c>
      <c r="C1078" s="1" t="s">
        <v>51</v>
      </c>
      <c r="D1078" s="1" t="s">
        <v>105</v>
      </c>
      <c r="E1078" s="1">
        <v>2308800</v>
      </c>
      <c r="F1078" s="1">
        <v>384800</v>
      </c>
      <c r="G1078" s="1">
        <v>1420800</v>
      </c>
      <c r="H1078" s="1">
        <v>2101600</v>
      </c>
      <c r="I1078" s="1">
        <v>828800</v>
      </c>
    </row>
    <row r="1079" spans="1:9" x14ac:dyDescent="0.25">
      <c r="A1079" s="2" t="s">
        <v>104</v>
      </c>
      <c r="B1079" s="2" t="s">
        <v>44</v>
      </c>
      <c r="C1079" s="2" t="s">
        <v>52</v>
      </c>
      <c r="D1079" s="2" t="s">
        <v>105</v>
      </c>
      <c r="E1079" s="2">
        <v>1144000</v>
      </c>
      <c r="F1079" s="2">
        <v>598000</v>
      </c>
      <c r="G1079" s="2">
        <v>754000</v>
      </c>
      <c r="H1079" s="2">
        <v>390000</v>
      </c>
      <c r="I1079" s="2">
        <v>1144000</v>
      </c>
    </row>
    <row r="1080" spans="1:9" x14ac:dyDescent="0.25">
      <c r="A1080" s="1" t="s">
        <v>104</v>
      </c>
      <c r="B1080" s="1" t="s">
        <v>44</v>
      </c>
      <c r="C1080" s="1" t="s">
        <v>53</v>
      </c>
      <c r="D1080" s="1" t="s">
        <v>105</v>
      </c>
      <c r="E1080" s="1">
        <v>2235680</v>
      </c>
      <c r="F1080" s="1">
        <v>828960</v>
      </c>
      <c r="G1080" s="1">
        <v>929440</v>
      </c>
      <c r="H1080" s="1">
        <v>904320</v>
      </c>
      <c r="I1080" s="1">
        <v>1356480</v>
      </c>
    </row>
    <row r="1081" spans="1:9" x14ac:dyDescent="0.25">
      <c r="A1081" s="2" t="s">
        <v>104</v>
      </c>
      <c r="B1081" s="2" t="s">
        <v>44</v>
      </c>
      <c r="C1081" s="2" t="s">
        <v>54</v>
      </c>
      <c r="D1081" s="2" t="s">
        <v>105</v>
      </c>
      <c r="E1081" s="2">
        <v>2018007</v>
      </c>
      <c r="F1081" s="2">
        <v>1410435</v>
      </c>
      <c r="G1081" s="2">
        <v>1019853</v>
      </c>
      <c r="H1081" s="2">
        <v>1952910</v>
      </c>
      <c r="I1081" s="2">
        <v>1171746</v>
      </c>
    </row>
    <row r="1082" spans="1:9" x14ac:dyDescent="0.25">
      <c r="A1082" s="1" t="s">
        <v>104</v>
      </c>
      <c r="B1082" s="1" t="s">
        <v>55</v>
      </c>
      <c r="C1082" s="1" t="s">
        <v>56</v>
      </c>
      <c r="D1082" s="1" t="s">
        <v>105</v>
      </c>
      <c r="E1082" s="1">
        <v>611640</v>
      </c>
      <c r="F1082" s="1">
        <v>441740</v>
      </c>
      <c r="G1082" s="1">
        <v>900470</v>
      </c>
      <c r="H1082" s="1">
        <v>1444150</v>
      </c>
      <c r="I1082" s="1">
        <v>1478130</v>
      </c>
    </row>
    <row r="1083" spans="1:9" x14ac:dyDescent="0.25">
      <c r="A1083" s="2" t="s">
        <v>104</v>
      </c>
      <c r="B1083" s="2" t="s">
        <v>55</v>
      </c>
      <c r="C1083" s="2" t="s">
        <v>57</v>
      </c>
      <c r="D1083" s="2" t="s">
        <v>105</v>
      </c>
      <c r="E1083" s="2">
        <v>755928</v>
      </c>
      <c r="F1083" s="2">
        <v>934411</v>
      </c>
      <c r="G1083" s="2">
        <v>346467</v>
      </c>
      <c r="H1083" s="2">
        <v>797924</v>
      </c>
      <c r="I1083" s="2">
        <v>682435</v>
      </c>
    </row>
    <row r="1084" spans="1:9" x14ac:dyDescent="0.25">
      <c r="A1084" s="1" t="s">
        <v>104</v>
      </c>
      <c r="B1084" s="1" t="s">
        <v>55</v>
      </c>
      <c r="C1084" s="1" t="s">
        <v>58</v>
      </c>
      <c r="D1084" s="1" t="s">
        <v>105</v>
      </c>
      <c r="E1084" s="1">
        <v>302000</v>
      </c>
      <c r="F1084" s="1">
        <v>2476400</v>
      </c>
      <c r="G1084" s="1">
        <v>2114000</v>
      </c>
      <c r="H1084" s="1">
        <v>604000</v>
      </c>
      <c r="I1084" s="1">
        <v>1902600</v>
      </c>
    </row>
    <row r="1085" spans="1:9" x14ac:dyDescent="0.25">
      <c r="A1085" s="2" t="s">
        <v>104</v>
      </c>
      <c r="B1085" s="2" t="s">
        <v>55</v>
      </c>
      <c r="C1085" s="2" t="s">
        <v>59</v>
      </c>
      <c r="D1085" s="2" t="s">
        <v>105</v>
      </c>
      <c r="E1085" s="2">
        <v>639936</v>
      </c>
      <c r="F1085" s="2">
        <v>539946</v>
      </c>
      <c r="G1085" s="2">
        <v>389961</v>
      </c>
      <c r="H1085" s="2">
        <v>199980</v>
      </c>
      <c r="I1085" s="2">
        <v>609939</v>
      </c>
    </row>
    <row r="1086" spans="1:9" x14ac:dyDescent="0.25">
      <c r="A1086" s="1" t="s">
        <v>104</v>
      </c>
      <c r="B1086" s="1" t="s">
        <v>55</v>
      </c>
      <c r="C1086" s="1" t="s">
        <v>60</v>
      </c>
      <c r="D1086" s="1" t="s">
        <v>105</v>
      </c>
      <c r="E1086" s="1">
        <v>134386</v>
      </c>
      <c r="F1086" s="1">
        <v>95990</v>
      </c>
      <c r="G1086" s="1">
        <v>412757</v>
      </c>
      <c r="H1086" s="1">
        <v>643133</v>
      </c>
      <c r="I1086" s="1">
        <v>921504</v>
      </c>
    </row>
    <row r="1087" spans="1:9" x14ac:dyDescent="0.25">
      <c r="A1087" s="2" t="s">
        <v>104</v>
      </c>
      <c r="B1087" s="2" t="s">
        <v>55</v>
      </c>
      <c r="C1087" s="2" t="s">
        <v>61</v>
      </c>
      <c r="D1087" s="2" t="s">
        <v>105</v>
      </c>
      <c r="E1087" s="2">
        <v>1424925</v>
      </c>
      <c r="F1087" s="2">
        <v>1728909</v>
      </c>
      <c r="G1087" s="2">
        <v>1823904</v>
      </c>
      <c r="H1087" s="2">
        <v>797958</v>
      </c>
      <c r="I1087" s="2">
        <v>265986</v>
      </c>
    </row>
    <row r="1088" spans="1:9" x14ac:dyDescent="0.25">
      <c r="A1088" s="1" t="s">
        <v>104</v>
      </c>
      <c r="B1088" s="1" t="s">
        <v>55</v>
      </c>
      <c r="C1088" s="1" t="s">
        <v>62</v>
      </c>
      <c r="D1088" s="1" t="s">
        <v>105</v>
      </c>
      <c r="E1088" s="1">
        <v>699965</v>
      </c>
      <c r="F1088" s="1">
        <v>1479926</v>
      </c>
      <c r="G1088" s="1">
        <v>1119944</v>
      </c>
      <c r="H1088" s="1">
        <v>1159942</v>
      </c>
      <c r="I1088" s="1">
        <v>1739913</v>
      </c>
    </row>
    <row r="1089" spans="1:9" x14ac:dyDescent="0.25">
      <c r="A1089" s="2" t="s">
        <v>104</v>
      </c>
      <c r="B1089" s="2" t="s">
        <v>55</v>
      </c>
      <c r="C1089" s="2" t="s">
        <v>63</v>
      </c>
      <c r="D1089" s="2" t="s">
        <v>105</v>
      </c>
      <c r="E1089" s="2">
        <v>131460</v>
      </c>
      <c r="F1089" s="2">
        <v>150240</v>
      </c>
      <c r="G1089" s="2">
        <v>657300</v>
      </c>
      <c r="H1089" s="2">
        <v>488280</v>
      </c>
      <c r="I1089" s="2">
        <v>760590</v>
      </c>
    </row>
    <row r="1090" spans="1:9" x14ac:dyDescent="0.25">
      <c r="A1090" s="1" t="s">
        <v>104</v>
      </c>
      <c r="B1090" s="1" t="s">
        <v>55</v>
      </c>
      <c r="C1090" s="1" t="s">
        <v>64</v>
      </c>
      <c r="D1090" s="1" t="s">
        <v>105</v>
      </c>
      <c r="E1090" s="1">
        <v>1722000</v>
      </c>
      <c r="F1090" s="1">
        <v>630000</v>
      </c>
      <c r="G1090" s="1">
        <v>1638000</v>
      </c>
      <c r="H1090" s="1">
        <v>1722000</v>
      </c>
      <c r="I1090" s="1">
        <v>1218000</v>
      </c>
    </row>
    <row r="1091" spans="1:9" x14ac:dyDescent="0.25">
      <c r="A1091" s="2" t="s">
        <v>104</v>
      </c>
      <c r="B1091" s="2" t="s">
        <v>55</v>
      </c>
      <c r="C1091" s="2" t="s">
        <v>65</v>
      </c>
      <c r="D1091" s="2" t="s">
        <v>105</v>
      </c>
      <c r="E1091" s="2">
        <v>1225000</v>
      </c>
      <c r="F1091" s="2">
        <v>2100000</v>
      </c>
      <c r="G1091" s="2">
        <v>975000</v>
      </c>
      <c r="H1091" s="2">
        <v>1025000</v>
      </c>
      <c r="I1091" s="2">
        <v>1625000</v>
      </c>
    </row>
    <row r="1092" spans="1:9" x14ac:dyDescent="0.25">
      <c r="A1092" s="1" t="s">
        <v>104</v>
      </c>
      <c r="B1092" s="1" t="s">
        <v>66</v>
      </c>
      <c r="C1092" s="1" t="s">
        <v>67</v>
      </c>
      <c r="D1092" s="1" t="s">
        <v>105</v>
      </c>
      <c r="E1092" s="1">
        <v>3007906</v>
      </c>
      <c r="F1092" s="1">
        <v>1951939</v>
      </c>
      <c r="G1092" s="1">
        <v>671979</v>
      </c>
      <c r="H1092" s="1">
        <v>1247961</v>
      </c>
      <c r="I1092" s="1">
        <v>2399925</v>
      </c>
    </row>
    <row r="1093" spans="1:9" x14ac:dyDescent="0.25">
      <c r="A1093" s="2" t="s">
        <v>104</v>
      </c>
      <c r="B1093" s="2" t="s">
        <v>66</v>
      </c>
      <c r="C1093" s="2" t="s">
        <v>68</v>
      </c>
      <c r="D1093" s="2" t="s">
        <v>105</v>
      </c>
      <c r="E1093" s="2">
        <v>1284582</v>
      </c>
      <c r="F1093" s="2">
        <v>823450</v>
      </c>
      <c r="G1093" s="2">
        <v>510539</v>
      </c>
      <c r="H1093" s="2">
        <v>362318</v>
      </c>
      <c r="I1093" s="2">
        <v>625822</v>
      </c>
    </row>
    <row r="1094" spans="1:9" x14ac:dyDescent="0.25">
      <c r="A1094" s="1" t="s">
        <v>104</v>
      </c>
      <c r="B1094" s="1" t="s">
        <v>66</v>
      </c>
      <c r="C1094" s="1" t="s">
        <v>69</v>
      </c>
      <c r="D1094" s="1" t="s">
        <v>105</v>
      </c>
      <c r="E1094" s="1">
        <v>188432</v>
      </c>
      <c r="F1094" s="1">
        <v>930383</v>
      </c>
      <c r="G1094" s="1">
        <v>741951</v>
      </c>
      <c r="H1094" s="1">
        <v>459303</v>
      </c>
      <c r="I1094" s="1">
        <v>176655</v>
      </c>
    </row>
    <row r="1095" spans="1:9" x14ac:dyDescent="0.25">
      <c r="A1095" s="2" t="s">
        <v>104</v>
      </c>
      <c r="B1095" s="2" t="s">
        <v>66</v>
      </c>
      <c r="C1095" s="2" t="s">
        <v>70</v>
      </c>
      <c r="D1095" s="2" t="s">
        <v>105</v>
      </c>
      <c r="E1095" s="2">
        <v>296744</v>
      </c>
      <c r="F1095" s="2">
        <v>365631</v>
      </c>
      <c r="G1095" s="2">
        <v>408023</v>
      </c>
      <c r="H1095" s="2">
        <v>392126</v>
      </c>
      <c r="I1095" s="2">
        <v>259651</v>
      </c>
    </row>
    <row r="1096" spans="1:9" x14ac:dyDescent="0.25">
      <c r="A1096" s="1" t="s">
        <v>104</v>
      </c>
      <c r="B1096" s="1" t="s">
        <v>66</v>
      </c>
      <c r="C1096" s="1" t="s">
        <v>71</v>
      </c>
      <c r="D1096" s="1" t="s">
        <v>105</v>
      </c>
      <c r="E1096" s="1">
        <v>186900</v>
      </c>
      <c r="F1096" s="1">
        <v>231400</v>
      </c>
      <c r="G1096" s="1">
        <v>605200</v>
      </c>
      <c r="H1096" s="1">
        <v>765400</v>
      </c>
      <c r="I1096" s="1">
        <v>818800</v>
      </c>
    </row>
    <row r="1097" spans="1:9" x14ac:dyDescent="0.25">
      <c r="A1097" s="2" t="s">
        <v>104</v>
      </c>
      <c r="B1097" s="2" t="s">
        <v>66</v>
      </c>
      <c r="C1097" s="2" t="s">
        <v>72</v>
      </c>
      <c r="D1097" s="2" t="s">
        <v>105</v>
      </c>
      <c r="E1097" s="2">
        <v>1339440</v>
      </c>
      <c r="F1097" s="2">
        <v>1852892</v>
      </c>
      <c r="G1097" s="2">
        <v>1026904</v>
      </c>
      <c r="H1097" s="2">
        <v>2076132</v>
      </c>
      <c r="I1097" s="2">
        <v>759016</v>
      </c>
    </row>
    <row r="1098" spans="1:9" x14ac:dyDescent="0.25">
      <c r="A1098" s="1" t="s">
        <v>104</v>
      </c>
      <c r="B1098" s="1" t="s">
        <v>66</v>
      </c>
      <c r="C1098" s="1" t="s">
        <v>73</v>
      </c>
      <c r="D1098" s="1" t="s">
        <v>105</v>
      </c>
      <c r="E1098" s="1">
        <v>1403460</v>
      </c>
      <c r="F1098" s="1">
        <v>2157170</v>
      </c>
      <c r="G1098" s="1">
        <v>831680</v>
      </c>
      <c r="H1098" s="1">
        <v>909650</v>
      </c>
      <c r="I1098" s="1">
        <v>753710</v>
      </c>
    </row>
    <row r="1099" spans="1:9" x14ac:dyDescent="0.25">
      <c r="A1099" s="2" t="s">
        <v>104</v>
      </c>
      <c r="B1099" s="2" t="s">
        <v>66</v>
      </c>
      <c r="C1099" s="2" t="s">
        <v>74</v>
      </c>
      <c r="D1099" s="2" t="s">
        <v>105</v>
      </c>
      <c r="E1099" s="2">
        <v>1460000</v>
      </c>
      <c r="F1099" s="2">
        <v>200000</v>
      </c>
      <c r="G1099" s="2">
        <v>620000</v>
      </c>
      <c r="H1099" s="2">
        <v>1580000</v>
      </c>
      <c r="I1099" s="2">
        <v>500000</v>
      </c>
    </row>
    <row r="1100" spans="1:9" x14ac:dyDescent="0.25">
      <c r="A1100" s="1" t="s">
        <v>104</v>
      </c>
      <c r="B1100" s="1" t="s">
        <v>66</v>
      </c>
      <c r="C1100" s="1" t="s">
        <v>75</v>
      </c>
      <c r="D1100" s="1" t="s">
        <v>105</v>
      </c>
      <c r="E1100" s="1">
        <v>1092000</v>
      </c>
      <c r="F1100" s="1">
        <v>1008000</v>
      </c>
      <c r="G1100" s="1">
        <v>1155000</v>
      </c>
      <c r="H1100" s="1">
        <v>1470000</v>
      </c>
      <c r="I1100" s="1">
        <v>1260000</v>
      </c>
    </row>
    <row r="1101" spans="1:9" x14ac:dyDescent="0.25">
      <c r="A1101" s="2" t="s">
        <v>104</v>
      </c>
      <c r="B1101" s="2" t="s">
        <v>66</v>
      </c>
      <c r="C1101" s="2" t="s">
        <v>76</v>
      </c>
      <c r="D1101" s="2" t="s">
        <v>105</v>
      </c>
      <c r="E1101" s="2">
        <v>1518000</v>
      </c>
      <c r="F1101" s="2">
        <v>418000</v>
      </c>
      <c r="G1101" s="2">
        <v>924000</v>
      </c>
      <c r="H1101" s="2">
        <v>836000</v>
      </c>
      <c r="I1101" s="2">
        <v>1232000</v>
      </c>
    </row>
    <row r="1102" spans="1:9" x14ac:dyDescent="0.25">
      <c r="A1102" s="1" t="s">
        <v>104</v>
      </c>
      <c r="B1102" s="1" t="s">
        <v>77</v>
      </c>
      <c r="C1102" s="1" t="s">
        <v>78</v>
      </c>
      <c r="D1102" s="1" t="s">
        <v>105</v>
      </c>
      <c r="E1102" s="1">
        <v>2592100</v>
      </c>
      <c r="F1102" s="1">
        <v>502550</v>
      </c>
      <c r="G1102" s="1">
        <v>634800</v>
      </c>
      <c r="H1102" s="1">
        <v>1719250</v>
      </c>
      <c r="I1102" s="1">
        <v>2512750</v>
      </c>
    </row>
    <row r="1103" spans="1:9" x14ac:dyDescent="0.25">
      <c r="A1103" s="2" t="s">
        <v>104</v>
      </c>
      <c r="B1103" s="2" t="s">
        <v>77</v>
      </c>
      <c r="C1103" s="2" t="s">
        <v>79</v>
      </c>
      <c r="D1103" s="2" t="s">
        <v>105</v>
      </c>
      <c r="E1103" s="2">
        <v>1177020</v>
      </c>
      <c r="F1103" s="2">
        <v>1824381</v>
      </c>
      <c r="G1103" s="2">
        <v>882765</v>
      </c>
      <c r="H1103" s="2">
        <v>1392807</v>
      </c>
      <c r="I1103" s="2">
        <v>215787</v>
      </c>
    </row>
    <row r="1104" spans="1:9" x14ac:dyDescent="0.25">
      <c r="A1104" s="1" t="s">
        <v>104</v>
      </c>
      <c r="B1104" s="1" t="s">
        <v>77</v>
      </c>
      <c r="C1104" s="1" t="s">
        <v>80</v>
      </c>
      <c r="D1104" s="1" t="s">
        <v>105</v>
      </c>
      <c r="E1104" s="1">
        <v>2668170</v>
      </c>
      <c r="F1104" s="1">
        <v>1606640</v>
      </c>
      <c r="G1104" s="1">
        <v>1893540</v>
      </c>
      <c r="H1104" s="1">
        <v>918080</v>
      </c>
      <c r="I1104" s="1">
        <v>2582100</v>
      </c>
    </row>
    <row r="1105" spans="1:9" x14ac:dyDescent="0.25">
      <c r="A1105" s="2" t="s">
        <v>104</v>
      </c>
      <c r="B1105" s="2" t="s">
        <v>77</v>
      </c>
      <c r="C1105" s="2" t="s">
        <v>81</v>
      </c>
      <c r="D1105" s="2" t="s">
        <v>105</v>
      </c>
      <c r="E1105" s="2">
        <v>1462230</v>
      </c>
      <c r="F1105" s="2">
        <v>1481220</v>
      </c>
      <c r="G1105" s="2">
        <v>1633140</v>
      </c>
      <c r="H1105" s="2">
        <v>1690110</v>
      </c>
      <c r="I1105" s="2">
        <v>930510</v>
      </c>
    </row>
    <row r="1106" spans="1:9" x14ac:dyDescent="0.25">
      <c r="A1106" s="1" t="s">
        <v>104</v>
      </c>
      <c r="B1106" s="1" t="s">
        <v>77</v>
      </c>
      <c r="C1106" s="1" t="s">
        <v>82</v>
      </c>
      <c r="D1106" s="1" t="s">
        <v>105</v>
      </c>
      <c r="E1106" s="1">
        <v>2684060</v>
      </c>
      <c r="F1106" s="1">
        <v>1997440</v>
      </c>
      <c r="G1106" s="1">
        <v>436940</v>
      </c>
      <c r="H1106" s="1">
        <v>2840110</v>
      </c>
      <c r="I1106" s="1">
        <v>2652850</v>
      </c>
    </row>
    <row r="1107" spans="1:9" x14ac:dyDescent="0.25">
      <c r="A1107" s="2" t="s">
        <v>104</v>
      </c>
      <c r="B1107" s="2" t="s">
        <v>77</v>
      </c>
      <c r="C1107" s="2" t="s">
        <v>83</v>
      </c>
      <c r="D1107" s="2" t="s">
        <v>105</v>
      </c>
      <c r="E1107" s="2">
        <v>2535360</v>
      </c>
      <c r="F1107" s="2">
        <v>1334400</v>
      </c>
      <c r="G1107" s="2">
        <v>433680</v>
      </c>
      <c r="H1107" s="2">
        <v>900720</v>
      </c>
      <c r="I1107" s="2">
        <v>2902320</v>
      </c>
    </row>
    <row r="1108" spans="1:9" x14ac:dyDescent="0.25">
      <c r="A1108" s="1" t="s">
        <v>104</v>
      </c>
      <c r="B1108" s="1" t="s">
        <v>77</v>
      </c>
      <c r="C1108" s="1" t="s">
        <v>84</v>
      </c>
      <c r="D1108" s="1" t="s">
        <v>105</v>
      </c>
      <c r="E1108" s="1">
        <v>1719914</v>
      </c>
      <c r="F1108" s="1">
        <v>1599920</v>
      </c>
      <c r="G1108" s="1">
        <v>539973</v>
      </c>
      <c r="H1108" s="1">
        <v>1179941</v>
      </c>
      <c r="I1108" s="1">
        <v>1979901</v>
      </c>
    </row>
    <row r="1109" spans="1:9" x14ac:dyDescent="0.25">
      <c r="A1109" s="2" t="s">
        <v>104</v>
      </c>
      <c r="B1109" s="2" t="s">
        <v>77</v>
      </c>
      <c r="C1109" s="2" t="s">
        <v>85</v>
      </c>
      <c r="D1109" s="2" t="s">
        <v>105</v>
      </c>
      <c r="E1109" s="2">
        <v>776600</v>
      </c>
      <c r="F1109" s="2">
        <v>706000</v>
      </c>
      <c r="G1109" s="2">
        <v>529500</v>
      </c>
      <c r="H1109" s="2">
        <v>441250</v>
      </c>
      <c r="I1109" s="2">
        <v>1694400</v>
      </c>
    </row>
    <row r="1110" spans="1:9" x14ac:dyDescent="0.25">
      <c r="A1110" s="1" t="s">
        <v>104</v>
      </c>
      <c r="B1110" s="1" t="s">
        <v>77</v>
      </c>
      <c r="C1110" s="1" t="s">
        <v>86</v>
      </c>
      <c r="D1110" s="1" t="s">
        <v>105</v>
      </c>
      <c r="E1110" s="1">
        <v>653600</v>
      </c>
      <c r="F1110" s="1">
        <v>1322400</v>
      </c>
      <c r="G1110" s="1">
        <v>608000</v>
      </c>
      <c r="H1110" s="1">
        <v>304000</v>
      </c>
      <c r="I1110" s="1">
        <v>1383200</v>
      </c>
    </row>
    <row r="1111" spans="1:9" x14ac:dyDescent="0.25">
      <c r="A1111" s="2" t="s">
        <v>104</v>
      </c>
      <c r="B1111" s="2" t="s">
        <v>77</v>
      </c>
      <c r="C1111" s="2" t="s">
        <v>87</v>
      </c>
      <c r="D1111" s="2" t="s">
        <v>105</v>
      </c>
      <c r="E1111" s="2">
        <v>757350</v>
      </c>
      <c r="F1111" s="2">
        <v>849150</v>
      </c>
      <c r="G1111" s="2">
        <v>2065500</v>
      </c>
      <c r="H1111" s="2">
        <v>1101600</v>
      </c>
      <c r="I1111" s="2">
        <v>1308150</v>
      </c>
    </row>
    <row r="1112" spans="1:9" x14ac:dyDescent="0.25">
      <c r="A1112" s="1" t="s">
        <v>104</v>
      </c>
      <c r="B1112" s="1" t="s">
        <v>88</v>
      </c>
      <c r="C1112" s="1" t="s">
        <v>89</v>
      </c>
      <c r="D1112" s="1" t="s">
        <v>105</v>
      </c>
      <c r="E1112" s="1">
        <v>4657500</v>
      </c>
      <c r="F1112" s="1">
        <v>4082500</v>
      </c>
      <c r="G1112" s="1">
        <v>1207500</v>
      </c>
      <c r="H1112" s="1">
        <v>5635000</v>
      </c>
      <c r="I1112" s="1">
        <v>3450000</v>
      </c>
    </row>
    <row r="1113" spans="1:9" x14ac:dyDescent="0.25">
      <c r="A1113" s="2" t="s">
        <v>104</v>
      </c>
      <c r="B1113" s="2" t="s">
        <v>88</v>
      </c>
      <c r="C1113" s="2" t="s">
        <v>90</v>
      </c>
      <c r="D1113" s="2" t="s">
        <v>105</v>
      </c>
      <c r="E1113" s="2">
        <v>2646800</v>
      </c>
      <c r="F1113" s="2">
        <v>1628800</v>
      </c>
      <c r="G1113" s="2">
        <v>3766600</v>
      </c>
      <c r="H1113" s="2">
        <v>2188700</v>
      </c>
      <c r="I1113" s="2">
        <v>2239600</v>
      </c>
    </row>
    <row r="1114" spans="1:9" x14ac:dyDescent="0.25">
      <c r="A1114" s="1" t="s">
        <v>104</v>
      </c>
      <c r="B1114" s="1" t="s">
        <v>88</v>
      </c>
      <c r="C1114" s="1" t="s">
        <v>91</v>
      </c>
      <c r="D1114" s="1" t="s">
        <v>105</v>
      </c>
      <c r="E1114" s="1">
        <v>2136000</v>
      </c>
      <c r="F1114" s="1">
        <v>3649000</v>
      </c>
      <c r="G1114" s="1">
        <v>4361000</v>
      </c>
      <c r="H1114" s="1">
        <v>3337500</v>
      </c>
      <c r="I1114" s="1">
        <v>1602000</v>
      </c>
    </row>
    <row r="1115" spans="1:9" x14ac:dyDescent="0.25">
      <c r="A1115" s="2" t="s">
        <v>104</v>
      </c>
      <c r="B1115" s="2" t="s">
        <v>88</v>
      </c>
      <c r="C1115" s="2" t="s">
        <v>92</v>
      </c>
      <c r="D1115" s="2" t="s">
        <v>105</v>
      </c>
      <c r="E1115" s="2">
        <v>1667600</v>
      </c>
      <c r="F1115" s="2">
        <v>3486800</v>
      </c>
      <c r="G1115" s="2">
        <v>2577200</v>
      </c>
      <c r="H1115" s="2">
        <v>3752100</v>
      </c>
      <c r="I1115" s="2">
        <v>3411000</v>
      </c>
    </row>
    <row r="1116" spans="1:9" x14ac:dyDescent="0.25">
      <c r="A1116" s="1" t="s">
        <v>104</v>
      </c>
      <c r="B1116" s="1" t="s">
        <v>88</v>
      </c>
      <c r="C1116" s="1" t="s">
        <v>93</v>
      </c>
      <c r="D1116" s="1" t="s">
        <v>105</v>
      </c>
      <c r="E1116" s="1">
        <v>619500</v>
      </c>
      <c r="F1116" s="1">
        <v>1563500</v>
      </c>
      <c r="G1116" s="1">
        <v>944000</v>
      </c>
      <c r="H1116" s="1">
        <v>2507500</v>
      </c>
      <c r="I1116" s="1">
        <v>472000</v>
      </c>
    </row>
    <row r="1117" spans="1:9" x14ac:dyDescent="0.25">
      <c r="A1117" s="2" t="s">
        <v>104</v>
      </c>
      <c r="B1117" s="2" t="s">
        <v>88</v>
      </c>
      <c r="C1117" s="2" t="s">
        <v>94</v>
      </c>
      <c r="D1117" s="2" t="s">
        <v>105</v>
      </c>
      <c r="E1117" s="2">
        <v>1552500</v>
      </c>
      <c r="F1117" s="2">
        <v>1173000</v>
      </c>
      <c r="G1117" s="2">
        <v>690000</v>
      </c>
      <c r="H1117" s="2">
        <v>2587500</v>
      </c>
      <c r="I1117" s="2">
        <v>1104000</v>
      </c>
    </row>
    <row r="1118" spans="1:9" x14ac:dyDescent="0.25">
      <c r="A1118" s="1" t="s">
        <v>104</v>
      </c>
      <c r="B1118" s="1" t="s">
        <v>88</v>
      </c>
      <c r="C1118" s="1" t="s">
        <v>95</v>
      </c>
      <c r="D1118" s="1" t="s">
        <v>105</v>
      </c>
      <c r="E1118" s="1">
        <v>2212000</v>
      </c>
      <c r="F1118" s="1">
        <v>395000</v>
      </c>
      <c r="G1118" s="1">
        <v>671500</v>
      </c>
      <c r="H1118" s="1">
        <v>2725500</v>
      </c>
      <c r="I1118" s="1">
        <v>2291000</v>
      </c>
    </row>
    <row r="1119" spans="1:9" x14ac:dyDescent="0.25">
      <c r="A1119" s="2" t="s">
        <v>104</v>
      </c>
      <c r="B1119" s="2" t="s">
        <v>88</v>
      </c>
      <c r="C1119" s="2" t="s">
        <v>96</v>
      </c>
      <c r="D1119" s="2" t="s">
        <v>105</v>
      </c>
      <c r="E1119" s="2">
        <v>959400</v>
      </c>
      <c r="F1119" s="2">
        <v>1402200</v>
      </c>
      <c r="G1119" s="2">
        <v>1439100</v>
      </c>
      <c r="H1119" s="2">
        <v>2656800</v>
      </c>
      <c r="I1119" s="2">
        <v>1439100</v>
      </c>
    </row>
    <row r="1120" spans="1:9" x14ac:dyDescent="0.25">
      <c r="A1120" s="1" t="s">
        <v>104</v>
      </c>
      <c r="B1120" s="1" t="s">
        <v>88</v>
      </c>
      <c r="C1120" s="1" t="s">
        <v>97</v>
      </c>
      <c r="D1120" s="1" t="s">
        <v>105</v>
      </c>
      <c r="E1120" s="1">
        <v>1382700</v>
      </c>
      <c r="F1120" s="1">
        <v>1340800</v>
      </c>
      <c r="G1120" s="1">
        <v>2011200</v>
      </c>
      <c r="H1120" s="1">
        <v>2933000</v>
      </c>
      <c r="I1120" s="1">
        <v>2388300</v>
      </c>
    </row>
    <row r="1121" spans="1:9" x14ac:dyDescent="0.25">
      <c r="A1121" s="2" t="s">
        <v>104</v>
      </c>
      <c r="B1121" s="2" t="s">
        <v>88</v>
      </c>
      <c r="C1121" s="2" t="s">
        <v>98</v>
      </c>
      <c r="D1121" s="2" t="s">
        <v>105</v>
      </c>
      <c r="E1121" s="2">
        <v>656600</v>
      </c>
      <c r="F1121" s="2">
        <v>891100</v>
      </c>
      <c r="G1121" s="2">
        <v>2157400</v>
      </c>
      <c r="H1121" s="2">
        <v>3048500</v>
      </c>
      <c r="I1121" s="2">
        <v>1594600</v>
      </c>
    </row>
    <row r="1122" spans="1:9" x14ac:dyDescent="0.25">
      <c r="A1122" s="1" t="s">
        <v>104</v>
      </c>
      <c r="B1122" s="1" t="s">
        <v>106</v>
      </c>
      <c r="C1122" s="1" t="s">
        <v>107</v>
      </c>
      <c r="D1122" s="1" t="s">
        <v>105</v>
      </c>
      <c r="E1122" s="1">
        <v>656600</v>
      </c>
      <c r="F1122" s="1">
        <v>891100</v>
      </c>
      <c r="G1122" s="1">
        <v>2157400</v>
      </c>
      <c r="H1122" s="1">
        <v>3048500</v>
      </c>
      <c r="I1122" s="1">
        <v>1594600</v>
      </c>
    </row>
    <row r="1123" spans="1:9" x14ac:dyDescent="0.25">
      <c r="A1123" s="4" t="s">
        <v>104</v>
      </c>
      <c r="B1123" s="4" t="s">
        <v>106</v>
      </c>
      <c r="C1123" s="4" t="s">
        <v>107</v>
      </c>
      <c r="D1123" s="4" t="s">
        <v>12</v>
      </c>
      <c r="E1123" s="4">
        <f>E1122/15000</f>
        <v>43.773333333333333</v>
      </c>
      <c r="F1123" s="4">
        <f t="shared" ref="F1123:I1123" si="0">F1122/15000</f>
        <v>59.406666666666666</v>
      </c>
      <c r="G1123" s="4">
        <f t="shared" si="0"/>
        <v>143.82666666666665</v>
      </c>
      <c r="H1123" s="4">
        <f t="shared" si="0"/>
        <v>203.23333333333332</v>
      </c>
      <c r="I1123" s="4">
        <f t="shared" si="0"/>
        <v>106.30666666666667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perepa</dc:creator>
  <cp:lastModifiedBy>Vijay perepa</cp:lastModifiedBy>
  <dcterms:created xsi:type="dcterms:W3CDTF">2018-11-14T02:47:20Z</dcterms:created>
  <dcterms:modified xsi:type="dcterms:W3CDTF">2018-11-14T11:02:56Z</dcterms:modified>
</cp:coreProperties>
</file>